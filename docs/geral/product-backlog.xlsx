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 Backlog" sheetId="1" state="visible" r:id="rId1"/>
    <sheet xmlns:r="http://schemas.openxmlformats.org/officeDocument/2006/relationships" name="Plano de sprints" sheetId="2" state="visible" r:id="rId2"/>
    <sheet xmlns:r="http://schemas.openxmlformats.org/officeDocument/2006/relationships" name="Resumo MoSCoW" sheetId="3" state="visible" r:id="rId3"/>
    <sheet xmlns:r="http://schemas.openxmlformats.org/officeDocument/2006/relationships" name="Arquivo (opcionais)" sheetId="4" state="visible" r:id="rId4"/>
  </sheets>
  <definedNames>
    <definedName name="_xlnm._FilterDatabase" localSheetId="0" hidden="1">'Product Backlog'!$A$4:$M$29</definedName>
    <definedName name="_xlnm.Print_Titles" localSheetId="0">'Product Backlog'!$4:$4</definedName>
    <definedName name="_xlnm._FilterDatabase" localSheetId="3" hidden="1">'Arquivo (opcionais)'!$A$4:$H$27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;[RED]\-0;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family val="2"/>
      <sz val="10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3864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9" fontId="7" fillId="0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11" fillId="0" borderId="2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/>
    </xf>
    <xf numFmtId="9" fontId="11" fillId="0" borderId="2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8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9" fontId="7" fillId="0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11" fillId="0" borderId="2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/>
    </xf>
    <xf numFmtId="9" fontId="11" fillId="0" borderId="2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8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Story points por sprint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'Plano de sprints'!D5</f>
              <strCache>
                <ptCount val="1"/>
                <pt idx="0">
                  <v>SP planeados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'Plano de sprints'!$A$6:$A$9</f>
              <strCache>
                <ptCount val="4"/>
                <pt idx="0">
                  <v>Sprint 1</v>
                </pt>
                <pt idx="1">
                  <v>Sprint 2</v>
                </pt>
                <pt idx="2">
                  <v>Sprint 3</v>
                </pt>
                <pt idx="3">
                  <v>Sprint 4</v>
                </pt>
              </strCache>
            </strRef>
          </cat>
          <val>
            <numRef>
              <f>'Plano de sprints'!$D$6:$D$9</f>
              <numCache>
                <formatCode>General</formatCode>
                <ptCount val="4"/>
                <pt idx="0">
                  <v>10</v>
                </pt>
                <pt idx="1">
                  <v>13</v>
                </pt>
                <pt idx="2">
                  <v>7</v>
                </pt>
                <pt idx="3">
                  <v>32</v>
                </pt>
              </numCache>
            </numRef>
          </val>
        </ser>
        <ser>
          <idx val="1"/>
          <order val="1"/>
          <tx>
            <strRef>
              <f>'Plano de sprints'!E5</f>
              <strCache>
                <ptCount val="1"/>
                <pt idx="0">
                  <v>SP feitos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'Plano de sprints'!$A$6:$A$9</f>
              <strCache>
                <ptCount val="4"/>
                <pt idx="0">
                  <v>Sprint 1</v>
                </pt>
                <pt idx="1">
                  <v>Sprint 2</v>
                </pt>
                <pt idx="2">
                  <v>Sprint 3</v>
                </pt>
                <pt idx="3">
                  <v>Sprint 4</v>
                </pt>
              </strCache>
            </strRef>
          </cat>
          <val>
            <numRef>
              <f>'Plano de sprints'!$E$6:$E$9</f>
              <numCache>
                <formatCode>General</formatCode>
                <ptCount val="4"/>
                <pt idx="0">
                  <v>10</v>
                </pt>
                <pt idx="1">
                  <v>13</v>
                </pt>
                <pt idx="2">
                  <v>7</v>
                </pt>
                <pt idx="3">
                  <v>32</v>
                </pt>
              </numCache>
            </numRef>
          </val>
        </ser>
        <gapWidth val="150"/>
        <overlap val="0"/>
        <axId val="97415770"/>
        <axId val="26067332"/>
      </barChart>
      <catAx>
        <axId val="974157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6067332"/>
        <crosses val="autoZero"/>
        <auto val="1"/>
        <lblAlgn val="ctr"/>
        <lblOffset val="100"/>
        <noMultiLvlLbl val="0"/>
      </catAx>
      <valAx>
        <axId val="2606733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741577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Story points em escala de Fibonacci (estimativa relativa de esforço, feita pela equipa de desenvolvimento).</t>
      </text>
    </comment>
    <comment ref="M4" authorId="0" shapeId="0">
      <text>
        <t>Número da story antes da renumeração de 07/10/2026 (é o que aparece no relatório Word e no histórico do GitHub até essa data).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C3" authorId="0" shapeId="0">
      <text>
        <t>Estimativa inicial da equipa (relatório, secção 11). Rever na Sprint Review com a velocidade real.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11</row>
      <rowOff>48600</rowOff>
    </from>
    <to>
      <col>2</col>
      <colOff>2087640</colOff>
      <row>24</row>
      <rowOff>84600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3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baseColWidth="8" defaultColWidth="8.66796875" defaultRowHeight="14.25" zeroHeight="0" outlineLevelRow="0"/>
  <cols>
    <col width="4" customWidth="1" style="30" min="1" max="1"/>
    <col width="7" customWidth="1" style="30" min="2" max="3"/>
    <col width="24" customWidth="1" style="30" min="4" max="4"/>
    <col width="48" customWidth="1" style="30" min="5" max="5"/>
    <col width="52" customWidth="1" style="30" min="6" max="6"/>
    <col width="6" customWidth="1" style="30" min="7" max="7"/>
    <col width="9" customWidth="1" style="30" min="8" max="8"/>
    <col width="11" customWidth="1" style="30" min="9" max="10"/>
    <col width="14" customWidth="1" style="30" min="11" max="11"/>
    <col width="24" customWidth="1" style="30" min="12" max="12"/>
    <col width="10" customWidth="1" style="30" min="13" max="13"/>
  </cols>
  <sheetData>
    <row r="1" ht="17.25" customHeight="1" s="31">
      <c r="A1" s="32" t="inlineStr">
        <is>
          <t>Product Backlog — OptaBem (recomendador de cursos e plano de candidatura)</t>
        </is>
      </c>
    </row>
    <row r="2" ht="14.25" customHeight="1" s="31">
      <c r="A2" s="33" t="inlineStr">
        <is>
          <t>Ordenado pela ordem de trabalho (sprint e prioridade). Células a amarelo são para a equipa atualizar (Sprint, Estado, Responsável, SP, Notas). Reestruturado a 27/10/2026, com autorização do docente: o backlog passa a ser só o de um recomendador de cursos; as stories das opcionais estão na folha «Arquivo (opcionais)». Os IDs não mudam nem são reutilizados. Estado «Protótipo» = código feito antes do sprint, ainda não aceite numa Sprint Review. Épicos: E1 Conta e privacidade · E2 Catálogo de cursos · E3 Orientação com o assistente · E4 Plano de candidatura. O histórico de replaneamentos está na folha «Plano de sprints».</t>
        </is>
      </c>
    </row>
    <row r="4" ht="26.25" customHeight="1" s="31">
      <c r="A4" s="34" t="inlineStr">
        <is>
          <t>#</t>
        </is>
      </c>
      <c r="B4" s="34" t="inlineStr">
        <is>
          <t>ID</t>
        </is>
      </c>
      <c r="C4" s="34" t="inlineStr">
        <is>
          <t>Épico</t>
        </is>
      </c>
      <c r="D4" s="34" t="inlineStr">
        <is>
          <t>Título</t>
        </is>
      </c>
      <c r="E4" s="34" t="inlineStr">
        <is>
          <t>User story</t>
        </is>
      </c>
      <c r="F4" s="34" t="inlineStr">
        <is>
          <t>Critérios de aceitação</t>
        </is>
      </c>
      <c r="G4" s="34" t="inlineStr">
        <is>
          <t>SP</t>
        </is>
      </c>
      <c r="H4" s="34" t="inlineStr">
        <is>
          <t>MoSCoW</t>
        </is>
      </c>
      <c r="I4" s="34" t="inlineStr">
        <is>
          <t>Sprint</t>
        </is>
      </c>
      <c r="J4" s="34" t="inlineStr">
        <is>
          <t>Estado</t>
        </is>
      </c>
      <c r="K4" s="34" t="inlineStr">
        <is>
          <t>Responsável</t>
        </is>
      </c>
      <c r="L4" s="34" t="inlineStr">
        <is>
          <t>Notas</t>
        </is>
      </c>
      <c r="M4" s="34" t="inlineStr">
        <is>
          <t>ID anterior</t>
        </is>
      </c>
    </row>
    <row r="5" ht="75" customHeight="1" s="31">
      <c r="A5" s="35" t="n">
        <v>1</v>
      </c>
      <c r="B5" s="35" t="inlineStr">
        <is>
          <t>US01</t>
        </is>
      </c>
      <c r="C5" s="35" t="inlineStr">
        <is>
          <t>E1</t>
        </is>
      </c>
      <c r="D5" s="36" t="inlineStr">
        <is>
          <t>Registo com email pessoal</t>
        </is>
      </c>
      <c r="E5" s="36" t="inlineStr">
        <is>
          <t>Como aluno, quero registar-me com o meu email pessoal.</t>
        </is>
      </c>
      <c r="F5" s="36" t="inlineStr">
        <is>
          <t>• São aceites emails pessoais
• A conta só fica ativa após confirmação por email (ou validação simulada em ambiente de teste).
• A palavra-passe é guardada com hash.
• O registo exige aceitação explícita da política de privacidade.</t>
        </is>
      </c>
      <c r="G5" s="37" t="n">
        <v>3</v>
      </c>
      <c r="H5" s="35" t="inlineStr">
        <is>
          <t>Must</t>
        </is>
      </c>
      <c r="I5" s="37" t="inlineStr">
        <is>
          <t>Sprint 1</t>
        </is>
      </c>
      <c r="J5" s="37" t="inlineStr">
        <is>
          <t>Feito</t>
        </is>
      </c>
      <c r="K5" s="38" t="n"/>
      <c r="L5" s="38" t="inlineStr">
        <is>
          <t>Feita no Sprint 1 (PR #1 a #3). Desde 23/10 o registo pede também o nome (PR #43). docs/US01/.</t>
        </is>
      </c>
      <c r="M5" s="35" t="inlineStr">
        <is>
          <t>US01</t>
        </is>
      </c>
    </row>
    <row r="6" ht="75" customHeight="1" s="31">
      <c r="A6" s="35" t="n">
        <v>2</v>
      </c>
      <c r="B6" s="35" t="inlineStr">
        <is>
          <t>US02</t>
        </is>
      </c>
      <c r="C6" s="35" t="inlineStr">
        <is>
          <t>E1</t>
        </is>
      </c>
      <c r="D6" s="36" t="inlineStr">
        <is>
          <t>Autenticação</t>
        </is>
      </c>
      <c r="E6" s="36" t="inlineStr">
        <is>
          <t>Como aluno, quero iniciar e terminar sessão, para aceder ao meu percurso de forma segura.</t>
        </is>
      </c>
      <c r="F6" s="36" t="inlineStr">
        <is>
          <t>• Login com email e palavra-passe.
• Mensagem genérica em caso de erro.
• O logout termina a sessão.
• Páginas privadas redirecionam para o login.</t>
        </is>
      </c>
      <c r="G6" s="37" t="n">
        <v>2</v>
      </c>
      <c r="H6" s="35" t="inlineStr">
        <is>
          <t>Must</t>
        </is>
      </c>
      <c r="I6" s="37" t="inlineStr">
        <is>
          <t>Sprint 1</t>
        </is>
      </c>
      <c r="J6" s="37" t="inlineStr">
        <is>
          <t>Feito</t>
        </is>
      </c>
      <c r="K6" s="38" t="n"/>
      <c r="L6" s="38" t="inlineStr">
        <is>
          <t>Feita no Sprint 1 (PR #4 e #5). Terminar sessão volta à página inicial (PR #43). docs/US02/.</t>
        </is>
      </c>
      <c r="M6" s="35" t="inlineStr">
        <is>
          <t>US02</t>
        </is>
      </c>
    </row>
    <row r="7" ht="75" customHeight="1" s="31">
      <c r="A7" s="35" t="n">
        <v>3</v>
      </c>
      <c r="B7" s="35" t="inlineStr">
        <is>
          <t>US03</t>
        </is>
      </c>
      <c r="C7" s="35" t="inlineStr">
        <is>
          <t>E1</t>
        </is>
      </c>
      <c r="D7" s="36" t="inlineStr">
        <is>
          <t>Perfis de aluno e administrador</t>
        </is>
      </c>
      <c r="E7" s="36" t="inlineStr">
        <is>
          <t>Como administrador, quero ter uma conta própria, separada das contas dos alunos e numa área escondida, para gerir a aplicação sem que os alunos vejam ou consigam usar essas funções.</t>
        </is>
      </c>
      <c r="F7" s="36" t="inlineStr">
        <is>
          <t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      </is>
      </c>
      <c r="G7" s="37" t="n">
        <v>5</v>
      </c>
      <c r="H7" s="35" t="inlineStr">
        <is>
          <t>Must</t>
        </is>
      </c>
      <c r="I7" s="37" t="inlineStr">
        <is>
          <t>Sprint 1</t>
        </is>
      </c>
      <c r="J7" s="37" t="inlineStr">
        <is>
          <t>Feito</t>
        </is>
      </c>
      <c r="K7" s="38" t="n"/>
      <c r="L7" s="38" t="inlineStr">
        <is>
          <t>Feita no Sprint 1 (PR #7). Um só início de sessão desde 14/10, com Strategy, Chain of Responsibility e Factory (PR #14). A gestão ativa contas por confirmar (PR #43). docs/US03/.</t>
        </is>
      </c>
      <c r="M7" s="35" t="inlineStr">
        <is>
          <t>—</t>
        </is>
      </c>
    </row>
    <row r="8" ht="75" customHeight="1" s="31">
      <c r="A8" s="35" t="n">
        <v>4</v>
      </c>
      <c r="B8" s="35" t="inlineStr">
        <is>
          <t>US29</t>
        </is>
      </c>
      <c r="C8" s="35" t="inlineStr">
        <is>
          <t>E3</t>
        </is>
      </c>
      <c r="D8" s="36" t="inlineStr">
        <is>
          <t>Conversa de orientação com o LLM</t>
        </is>
      </c>
      <c r="E8" s="36" t="inlineStr">
        <is>
          <t>Como pessoa indecisa, quero conversar com um assistente que me vai fazendo perguntas sobre os meus interesses, para perceber o que procuro num curso sem preencher um questionário fixo.</t>
        </is>
      </c>
      <c r="F8" s="36" t="inlineStr">
        <is>
          <t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      </is>
      </c>
      <c r="G8" s="37" t="n">
        <v>5</v>
      </c>
      <c r="H8" s="35" t="inlineStr">
        <is>
          <t>Must</t>
        </is>
      </c>
      <c r="I8" s="37" t="inlineStr">
        <is>
          <t>Sprint 2</t>
        </is>
      </c>
      <c r="J8" s="37" t="inlineStr">
        <is>
          <t>Feito</t>
        </is>
      </c>
      <c r="K8" s="38" t="n"/>
      <c r="L8" s="38" t="inlineStr">
        <is>
          <t>Feita no Sprint 2 (PR #19 e #24). Absorveu a US32 a 14/10 (issue #15). Gemini, com Groq de reserva (spike, PR #17). docs/US29/.</t>
        </is>
      </c>
      <c r="M8" s="35" t="inlineStr">
        <is>
          <t>—</t>
        </is>
      </c>
    </row>
    <row r="9" ht="75" customHeight="1" s="31">
      <c r="A9" s="35" t="n">
        <v>5</v>
      </c>
      <c r="B9" s="35" t="inlineStr">
        <is>
          <t>US30</t>
        </is>
      </c>
      <c r="C9" s="35" t="inlineStr">
        <is>
          <t>E3</t>
        </is>
      </c>
      <c r="D9" s="36" t="inlineStr">
        <is>
          <t>Sugestão de 2 a 3 cursos no fim da conversa</t>
        </is>
      </c>
      <c r="E9" s="36" t="inlineStr">
        <is>
          <t>Como pessoa indecisa, quero que a conversa termine com 2 a 3 cursos do catálogo, cada um com a explicação de porque combina comigo, para saber por onde começar.</t>
        </is>
      </c>
      <c r="F9" s="36" t="inlineStr">
        <is>
          <t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      </is>
      </c>
      <c r="G9" s="37" t="n">
        <v>3</v>
      </c>
      <c r="H9" s="35" t="inlineStr">
        <is>
          <t>Must</t>
        </is>
      </c>
      <c r="I9" s="37" t="inlineStr">
        <is>
          <t>Sprint 2</t>
        </is>
      </c>
      <c r="J9" s="37" t="inlineStr">
        <is>
          <t>Feito</t>
        </is>
      </c>
      <c r="K9" s="38" t="n"/>
      <c r="L9" s="38" t="inlineStr">
        <is>
          <t>Feita no Sprint 2 (PR #22 e #23). docs/US30/.</t>
        </is>
      </c>
      <c r="M9" s="35" t="inlineStr">
        <is>
          <t>—</t>
        </is>
      </c>
    </row>
    <row r="10" ht="75" customHeight="1" s="31">
      <c r="A10" s="35" t="n">
        <v>6</v>
      </c>
      <c r="B10" s="35" t="inlineStr">
        <is>
          <t>US31</t>
        </is>
      </c>
      <c r="C10" s="35" t="inlineStr">
        <is>
          <t>E3</t>
        </is>
      </c>
      <c r="D10" s="36" t="inlineStr">
        <is>
          <t>Escolher curso e linha do tempo do percurso</t>
        </is>
      </c>
      <c r="E10" s="36" t="inlineStr">
        <is>
          <t>Como utilizador, quero escolher um dos cursos sugeridos (ou outro do catálogo) e ver as decisões que fui tomando, para acompanhar o meu percurso.</t>
        </is>
      </c>
      <c r="F10" s="36" t="inlineStr">
        <is>
          <t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      </is>
      </c>
      <c r="G10" s="37" t="n">
        <v>5</v>
      </c>
      <c r="H10" s="35" t="inlineStr">
        <is>
          <t>Must</t>
        </is>
      </c>
      <c r="I10" s="37" t="inlineStr">
        <is>
          <t>Sprint 2</t>
        </is>
      </c>
      <c r="J10" s="37" t="inlineStr">
        <is>
          <t>Feito</t>
        </is>
      </c>
      <c r="K10" s="38" t="n"/>
      <c r="L10" s="38" t="inlineStr">
        <is>
          <t>Feita no Sprint 2 (issue #27). Depois da escolha, a conversa com o LLM é apagada. Fora do menu desde 23/10 (continua no início e em «A minha conta»). docs/US31/.</t>
        </is>
      </c>
      <c r="M10" s="35" t="inlineStr">
        <is>
          <t>—</t>
        </is>
      </c>
    </row>
    <row r="11" ht="75" customHeight="1" s="31">
      <c r="A11" s="35" t="n">
        <v>7</v>
      </c>
      <c r="B11" s="35" t="inlineStr">
        <is>
          <t>US05</t>
        </is>
      </c>
      <c r="C11" s="35" t="inlineStr">
        <is>
          <t>E2</t>
        </is>
      </c>
      <c r="D11" s="36" t="inlineStr">
        <is>
          <t>Consultar e comparar cursos</t>
        </is>
      </c>
      <c r="E11" s="36" t="inlineStr">
        <is>
          <t>Como pessoa indecisa, quero consultar e comparar cursos de várias instituições, para perceber as diferenças antes de decidir.</t>
        </is>
      </c>
      <c r="F11" s="36" t="inlineStr">
        <is>
          <t>• Filtros por área, instituição e localidade.
• Ficha de cada curso com descrição, saídas profissionais, vagas, nota do último colocado e ligação à fonte.
• Comparação de até 3 cursos lado a lado.
• Funciona sem sessão iniciada.</t>
        </is>
      </c>
      <c r="G11" s="37" t="n">
        <v>5</v>
      </c>
      <c r="H11" s="35" t="inlineStr">
        <is>
          <t>Must</t>
        </is>
      </c>
      <c r="I11" s="37" t="inlineStr">
        <is>
          <t>Sprint 3</t>
        </is>
      </c>
      <c r="J11" s="37" t="inlineStr">
        <is>
          <t>Feito</t>
        </is>
      </c>
      <c r="K11" s="38" t="n"/>
      <c r="L11" s="38" t="inlineStr">
        <is>
          <t>Feita no Sprint 3 (PR #37, #38 e #42). docs/US05/.</t>
        </is>
      </c>
      <c r="M11" s="35" t="inlineStr">
        <is>
          <t>US04</t>
        </is>
      </c>
    </row>
    <row r="12" ht="75" customHeight="1" s="31">
      <c r="A12" s="35" t="n">
        <v>8</v>
      </c>
      <c r="B12" s="35" t="inlineStr">
        <is>
          <t>US17</t>
        </is>
      </c>
      <c r="C12" s="35" t="inlineStr">
        <is>
          <t>E1</t>
        </is>
      </c>
      <c r="D12" s="36" t="inlineStr">
        <is>
          <t>Apagar a minha conta</t>
        </is>
      </c>
      <c r="E12" s="36" t="inlineStr">
        <is>
          <t>Como aluno, quero apagar a minha conta e todos os meus dados, para exercer o meu direito ao apagamento.</t>
        </is>
      </c>
      <c r="F12" s="36" t="inlineStr">
        <is>
          <t>• Apagar remove a conta, a conversa de orientação, as decisões do percurso e os pedidos ao LLM.
• A ação pede confirmação (palavra-passe).
• A sessão termina e a página confirma que os dados foram apagados.</t>
        </is>
      </c>
      <c r="G12" s="37" t="n">
        <v>2</v>
      </c>
      <c r="H12" s="35" t="inlineStr">
        <is>
          <t>Must</t>
        </is>
      </c>
      <c r="I12" s="37" t="inlineStr">
        <is>
          <t>Sprint 3</t>
        </is>
      </c>
      <c r="J12" s="37" t="inlineStr">
        <is>
          <t>Feito</t>
        </is>
      </c>
      <c r="K12" s="38" t="n"/>
      <c r="L12" s="38" t="inlineStr">
        <is>
          <t>Feita no Sprint 3 (PR #39). Âmbito reduzido a 22/10: a exportação passou a ser a US46. docs/US17/.</t>
        </is>
      </c>
      <c r="M12" s="35" t="inlineStr">
        <is>
          <t>US10</t>
        </is>
      </c>
    </row>
    <row r="13" ht="75" customHeight="1" s="31">
      <c r="A13" s="35" t="n">
        <v>9</v>
      </c>
      <c r="B13" s="35" t="inlineStr">
        <is>
          <t>US04</t>
        </is>
      </c>
      <c r="C13" s="35" t="inlineStr">
        <is>
          <t>E2</t>
        </is>
      </c>
      <c r="D13" s="36" t="inlineStr">
        <is>
          <t>Catálogo de licenciaturas recolhido da DGES</t>
        </is>
      </c>
      <c r="E13" s="36" t="inlineStr">
        <is>
          <t>Como pessoa indecisa, quero procurar num catálogo de licenciaturas recolhido da DGES, e não só numa amostra escrita à mão, para ver cursos de muitas instituições com dados oficiais.</t>
        </is>
      </c>
      <c r="F13" s="36" t="inlineStr">
        <is>
          <t>• Os cursos vêm das páginas públicas da DGES, por um script que corre no computador da equipa (dados/recolher_dges.py), devagar e retomável.
• O catálogo tem os cursos já recolhidos (174 no protótipo), com vagas, nota do último colocado e condições de acesso.
• As descrições escritas pela equipa (catálogo do MVP) mantêm-se.
• Lista de cursos com paginação (24 por página).
• Acima de 150 cursos, o assistente (LLM) recebe só os cursos das áreas escolhidas.</t>
        </is>
      </c>
      <c r="G13" s="37" t="n">
        <v>5</v>
      </c>
      <c r="H13" s="35" t="inlineStr">
        <is>
          <t>Must</t>
        </is>
      </c>
      <c r="I13" s="37" t="inlineStr">
        <is>
          <t>Sprint 4</t>
        </is>
      </c>
      <c r="J13" s="37" t="inlineStr">
        <is>
          <t>Feito</t>
        </is>
      </c>
      <c r="K13" s="38" t="n"/>
      <c r="L13" s="38" t="inlineStr">
        <is>
          <t>Código de 23/10 no PR #44 (ramo feature/US04-catalogo-completo): 174 cursos com condições de acesso. 27/10 (decisão do PO): a recolha de todas as licenciaturas passa para a US48, porque exige o computador ligado uma noite inteira. Documentação em docs/US04/ (PR #47). Aceite pelo PO a 27/10.</t>
        </is>
      </c>
      <c r="M13" s="35" t="inlineStr">
        <is>
          <t>US03</t>
        </is>
      </c>
    </row>
    <row r="14" ht="75" customHeight="1" s="31">
      <c r="A14" s="35" t="n">
        <v>10</v>
      </c>
      <c r="B14" s="35" t="inlineStr">
        <is>
          <t>US33</t>
        </is>
      </c>
      <c r="C14" s="35" t="inlineStr">
        <is>
          <t>E4</t>
        </is>
      </c>
      <c r="D14" s="36" t="inlineStr">
        <is>
          <t>Condições de acesso na ficha do curso</t>
        </is>
      </c>
      <c r="E14" s="36" t="inlineStr">
        <is>
          <t>Como pessoa a escolher curso, quero ver na ficha de cada curso as provas de ingresso, a fórmula de cálculo, as classificações mínimas e os pré-requisitos, para saber o que é preciso para entrar.</t>
        </is>
      </c>
      <c r="F14" s="36" t="inlineStr">
        <is>
          <t>• Dados lidos das páginas da DGES (a mesma recolha da US04).
• Conjuntos alternativos de provas mostrados pelo nome («Basta um destes conjuntos»).
• Fórmula (peso da média e das provas) e mínimos em pontos.
• Um curso sem estes dados mostra a ligação à DGES.
• Funciona sem sessão iniciada.</t>
        </is>
      </c>
      <c r="G14" s="37" t="n">
        <v>3</v>
      </c>
      <c r="H14" s="35" t="inlineStr">
        <is>
          <t>Must</t>
        </is>
      </c>
      <c r="I14" s="37" t="inlineStr">
        <is>
          <t>Sprint 4</t>
        </is>
      </c>
      <c r="J14" s="37" t="inlineStr">
        <is>
          <t>Feito</t>
        </is>
      </c>
      <c r="K14" s="38" t="n"/>
      <c r="L14" s="38" t="inlineStr">
        <is>
          <t>Código de 23/10 no PR #44, feito antes do sprint. Documentação em docs/US33/ (PR #47). Aceite pelo PO a 27/10.</t>
        </is>
      </c>
      <c r="M14" s="35" t="inlineStr">
        <is>
          <t>nova</t>
        </is>
      </c>
    </row>
    <row r="15" ht="75" customHeight="1" s="31">
      <c r="A15" s="35" t="n">
        <v>11</v>
      </c>
      <c r="B15" s="35" t="inlineStr">
        <is>
          <t>US34</t>
        </is>
      </c>
      <c r="C15" s="35" t="inlineStr">
        <is>
          <t>E4</t>
        </is>
      </c>
      <c r="D15" s="36" t="inlineStr">
        <is>
          <t>Registar as minhas notas</t>
        </is>
      </c>
      <c r="E15" s="36" t="inlineStr">
        <is>
          <t>Como candidato, quero indicar a minha média do secundário e as notas dos exames nacionais que fiz, para o OptaBem fazer as contas por mim.</t>
        </is>
      </c>
      <c r="F15" s="36" t="inlineStr">
        <is>
          <t>• Média de 9,5 a 20 valores; exames de 0 a 200 pontos (ou de 0 a 20, convertidos).
• Só se preenchem os exames feitos.
• As notas podem ser mudadas e saem com a conta (US17).
• Na Matemática indica-se o exame feito (A, B ou MACS), e cada um conta para as provas que a DGES aceita.</t>
        </is>
      </c>
      <c r="G15" s="37" t="n">
        <v>2</v>
      </c>
      <c r="H15" s="35" t="inlineStr">
        <is>
          <t>Must</t>
        </is>
      </c>
      <c r="I15" s="37" t="inlineStr">
        <is>
          <t>Sprint 4</t>
        </is>
      </c>
      <c r="J15" s="37" t="inlineStr">
        <is>
          <t>Feito</t>
        </is>
      </c>
      <c r="K15" s="38" t="n"/>
      <c r="L15" s="38" t="inlineStr">
        <is>
          <t>Código de 23/10 no PR #44, feito antes do sprint. Documentação em docs/US34/ (PR #47). Aceite pelo PO a 27/10. 27/10: correspondência das Matemáticas corrigida com a tabela da DGES (era só Matemática = Matemática A).</t>
        </is>
      </c>
      <c r="M15" s="35" t="inlineStr">
        <is>
          <t>nova</t>
        </is>
      </c>
    </row>
    <row r="16" ht="75" customHeight="1" s="31">
      <c r="A16" s="35" t="n">
        <v>12</v>
      </c>
      <c r="B16" s="35" t="inlineStr">
        <is>
          <t>US35</t>
        </is>
      </c>
      <c r="C16" s="35" t="inlineStr">
        <is>
          <t>E4</t>
        </is>
      </c>
      <c r="D16" s="36" t="inlineStr">
        <is>
          <t>Nota de candidatura a cada curso</t>
        </is>
      </c>
      <c r="E16" s="36" t="inlineStr">
        <is>
          <t>Como candidato, quero ver a minha nota de candidatura a cada curso e a diferença para o último colocado, para perceber onde tenho hipóteses.</t>
        </is>
      </c>
      <c r="F16" s="36" t="inlineStr">
        <is>
          <t>• Nota = média do secundário × peso + provas × peso, com o conjunto de provas mais favorável.
• Situação: acima (5 ou mais pontos), perto (menos de 5 de diferença) ou abaixo do último colocado; falta de prova e nota abaixo do mínimo assinaladas.
• Aparece na ficha de cada curso, com sessão iniciada.
• Aviso visível: estimativa para o contingente geral da 1.ª fase, não uma garantia.</t>
        </is>
      </c>
      <c r="G16" s="37" t="n">
        <v>3</v>
      </c>
      <c r="H16" s="35" t="inlineStr">
        <is>
          <t>Must</t>
        </is>
      </c>
      <c r="I16" s="37" t="inlineStr">
        <is>
          <t>Sprint 4</t>
        </is>
      </c>
      <c r="J16" s="37" t="inlineStr">
        <is>
          <t>Feito</t>
        </is>
      </c>
      <c r="K16" s="38" t="n"/>
      <c r="L16" s="38" t="inlineStr">
        <is>
          <t>Código de 23/10 no PR #44, feito antes do sprint. Documentação em docs/US35/ (PR #47). Aceite pelo PO a 27/10. Contas em app/candidatura/calculos.py.</t>
        </is>
      </c>
      <c r="M16" s="35" t="inlineStr">
        <is>
          <t>nova</t>
        </is>
      </c>
    </row>
    <row r="17" ht="75" customHeight="1" s="31">
      <c r="A17" s="35" t="n">
        <v>13</v>
      </c>
      <c r="B17" s="35" t="inlineStr">
        <is>
          <t>US36</t>
        </is>
      </c>
      <c r="C17" s="35" t="inlineStr">
        <is>
          <t>E4</t>
        </is>
      </c>
      <c r="D17" s="36" t="inlineStr">
        <is>
          <t>Plano das 6 opções de candidatura</t>
        </is>
      </c>
      <c r="E17" s="36" t="inlineStr">
        <is>
          <t>Como candidato, quero montar e ordenar a minha lista de até 6 opções, com avisos, para submeter na DGES uma candidatura equilibrada.</t>
        </is>
      </c>
      <c r="F17" s="36" t="inlineStr">
        <is>
          <t>• Juntar cursos a partir da ficha; no máximo 6, sem repetidos.
• Subir, descer e retirar opções (funciona sem JavaScript).
• Avisos: opções que não contam, nenhuma opção segura, a mais fácil em 1.º lugar, menos de 6 opções, pré-requisitos.
• Sugestões de cursos da mesma área onde a pessoa fica acima ou perto.
• Passo «Preparar a candidatura» no percurso do início.
• Cursos do ensino privado não entram (candidatura na instituição, não no concurso nacional).</t>
        </is>
      </c>
      <c r="G17" s="37" t="n">
        <v>5</v>
      </c>
      <c r="H17" s="35" t="inlineStr">
        <is>
          <t>Should</t>
        </is>
      </c>
      <c r="I17" s="37" t="inlineStr">
        <is>
          <t>Sprint 4</t>
        </is>
      </c>
      <c r="J17" s="37" t="inlineStr">
        <is>
          <t>Feito</t>
        </is>
      </c>
      <c r="K17" s="38" t="n"/>
      <c r="L17" s="38" t="inlineStr">
        <is>
          <t>Código de 23/10 no PR #44, feito antes do sprint. Documentação em docs/US36/ (PR #47). Aceite pelo PO a 27/10. O OptaBem ajuda a preparar a candidatura, não a submete. 27/10: os cursos privados deixam de poder entrar no plano.</t>
        </is>
      </c>
      <c r="M17" s="35" t="inlineStr">
        <is>
          <t>nova</t>
        </is>
      </c>
    </row>
    <row r="18" ht="75" customHeight="1" s="31">
      <c r="A18" s="35" t="n">
        <v>14</v>
      </c>
      <c r="B18" s="35" t="inlineStr">
        <is>
          <t>US40</t>
        </is>
      </c>
      <c r="C18" s="35" t="inlineStr">
        <is>
          <t>E4</t>
        </is>
      </c>
      <c r="D18" s="36" t="inlineStr">
        <is>
          <t>Quanto preciso no exame?</t>
        </is>
      </c>
      <c r="E18" s="36" t="inlineStr">
        <is>
          <t>Como candidato, quero saber que nota preciso nos exames que ainda não fiz para chegar ao último colocado de um curso, para saber quanto tenho de estudar.</t>
        </is>
      </c>
      <c r="F18" s="36" t="inlineStr">
        <is>
          <t>• Na ficha do curso, com a média do secundário indicada.
• Usa os exames já feitos e escolhe o conjunto de provas em que é mais fácil lá chegar.
• Respeita o mínimo de cada prova; sem último colocado, usa a nota mínima do curso.
• Diz quando nem 200 pontos chegam.
• No plano, as opções a que falta uma prova mostram quanto precisa.</t>
        </is>
      </c>
      <c r="G18" s="37" t="n">
        <v>2</v>
      </c>
      <c r="H18" s="35" t="inlineStr">
        <is>
          <t>Should</t>
        </is>
      </c>
      <c r="I18" s="37" t="inlineStr">
        <is>
          <t>Sprint 4</t>
        </is>
      </c>
      <c r="J18" s="37" t="inlineStr">
        <is>
          <t>Feito</t>
        </is>
      </c>
      <c r="K18" s="38" t="n"/>
      <c r="L18" s="38" t="inlineStr">
        <is>
          <t>Código de 23/10 no PR #44 (ideia proposta pelo Claude e aceite pelo PO), feito antes do sprint. 27/10: entra no Sprint 4 por decisão do PO; documentação em docs/US40/ (PR #48); aceite pelo PO a 27/10.</t>
        </is>
      </c>
      <c r="M18" s="35" t="inlineStr">
        <is>
          <t>nova</t>
        </is>
      </c>
    </row>
    <row r="19" ht="75" customHeight="1" s="31">
      <c r="A19" s="35" t="n">
        <v>15</v>
      </c>
      <c r="B19" s="35" t="inlineStr">
        <is>
          <t>US41</t>
        </is>
      </c>
      <c r="C19" s="35" t="inlineStr">
        <is>
          <t>E4</t>
        </is>
      </c>
      <c r="D19" s="36" t="inlineStr">
        <is>
          <t>Tendência do último colocado</t>
        </is>
      </c>
      <c r="E19" s="36" t="inlineStr">
        <is>
          <t>Como candidato, quero ver como a nota do último colocado mudou de 2023 a 2025, para perceber se um curso está a ficar mais difícil de entrar.</t>
        </is>
      </c>
      <c r="F19" s="36" t="inlineStr">
        <is>
          <t>• Notas da 1.ª fase de 2023, 2024 e 2025 (DGES) na ficha do curso.
• Etiqueta «A subir», «A descer» ou «Estável» (3 pontos de margem entre o primeiro e o último ano).
• A etiqueta aparece também em cada opção do plano.</t>
        </is>
      </c>
      <c r="G19" s="37" t="n">
        <v>2</v>
      </c>
      <c r="H19" s="35" t="inlineStr">
        <is>
          <t>Should</t>
        </is>
      </c>
      <c r="I19" s="37" t="inlineStr">
        <is>
          <t>Sprint 4</t>
        </is>
      </c>
      <c r="J19" s="37" t="inlineStr">
        <is>
          <t>Feito</t>
        </is>
      </c>
      <c r="K19" s="38" t="n"/>
      <c r="L19" s="38" t="inlineStr">
        <is>
          <t>Código de 23/10 no PR #44 (ideia proposta pelo Claude e aceite pelo PO), feito antes do sprint. 27/10: entra no Sprint 4 por decisão do PO; documentação em docs/US41/ (PR #48); aceite pelo PO a 27/10.</t>
        </is>
      </c>
      <c r="M19" s="35" t="inlineStr">
        <is>
          <t>nova</t>
        </is>
      </c>
    </row>
    <row r="20" ht="75" customHeight="1" s="31">
      <c r="A20" s="35" t="n">
        <v>16</v>
      </c>
      <c r="B20" s="35" t="inlineStr">
        <is>
          <t>US42</t>
        </is>
      </c>
      <c r="C20" s="35" t="inlineStr">
        <is>
          <t>E4</t>
        </is>
      </c>
      <c r="D20" s="36" t="inlineStr">
        <is>
          <t>Procura do curso</t>
        </is>
      </c>
      <c r="E20" s="36" t="inlineStr">
        <is>
          <t>Como candidato, quero ver quantas pessoas concorreram a um curso e quantas o puseram em 1.ª opção, para perceber o risco da minha escolha.</t>
        </is>
      </c>
      <c r="F20" s="36" t="inlineStr">
        <is>
          <t>• Candidatos, candidatos em 1.ª opção, vagas e colocados da 1.ª fase de 2025 (DGES), na ficha do curso.
• Etiqueta: «Sobraram vagas», «Muito procurado» (1,5 ou mais em 1.ª opção por vaga), «Procurado» (0,75 a 1,5) ou «Pouco escolhido em 1.ª opção».</t>
        </is>
      </c>
      <c r="G20" s="37" t="n">
        <v>2</v>
      </c>
      <c r="H20" s="35" t="inlineStr">
        <is>
          <t>Should</t>
        </is>
      </c>
      <c r="I20" s="37" t="inlineStr">
        <is>
          <t>Sprint 4</t>
        </is>
      </c>
      <c r="J20" s="37" t="inlineStr">
        <is>
          <t>Feito</t>
        </is>
      </c>
      <c r="K20" s="38" t="n"/>
      <c r="L20" s="38" t="inlineStr">
        <is>
          <t>Código de 23/10 no PR #44 (ideia proposta pelo Claude e aceite pelo PO), feito antes do sprint. 27/10: entra no Sprint 4 por decisão do PO; documentação em docs/US42/ (PR #48); aceite pelo PO a 27/10.</t>
        </is>
      </c>
      <c r="M20" s="35" t="inlineStr">
        <is>
          <t>nova</t>
        </is>
      </c>
    </row>
    <row r="21" ht="75" customHeight="1" s="31">
      <c r="A21" s="35" t="n">
        <v>17</v>
      </c>
      <c r="B21" s="35" t="inlineStr">
        <is>
          <t>US44</t>
        </is>
      </c>
      <c r="C21" s="35" t="inlineStr">
        <is>
          <t>E4</t>
        </is>
      </c>
      <c r="D21" s="36" t="inlineStr">
        <is>
          <t>Que exames me abrem mais portas?</t>
        </is>
      </c>
      <c r="E21" s="36" t="inlineStr">
        <is>
          <t>Como candidato, quero saber que combinação de exames nacionais me deixa concorrer a mais cursos do meu plano, para decidir que exames fazer.</t>
        </is>
      </c>
      <c r="F21" s="36" t="inlineStr">
        <is>
          <t>• Combinações de até 3 exames, a partir dos conjuntos de provas das opções do plano (2 ou mais opções).
• Mostra as 3 melhores: a que serve para mais opções primeiro, depois a com menos exames.
• Diz para que opções não dá e que exames da combinação a pessoa já fez.
• Os exames de Matemática contam para as provas que a DGES aceita (a Matemática A serve para Matemática, Matemática A e MACS).</t>
        </is>
      </c>
      <c r="G21" s="37" t="n">
        <v>3</v>
      </c>
      <c r="H21" s="35" t="inlineStr">
        <is>
          <t>Should</t>
        </is>
      </c>
      <c r="I21" s="37" t="inlineStr">
        <is>
          <t>Sprint 4</t>
        </is>
      </c>
      <c r="J21" s="37" t="inlineStr">
        <is>
          <t>Feito</t>
        </is>
      </c>
      <c r="K21" s="38" t="n"/>
      <c r="L21" s="38" t="inlineStr">
        <is>
          <t>Código de 23/10 no PR #44 (ideia proposta pelo Claude e aceite pelo PO), feito antes do sprint. 27/10: entra no Sprint 4 por decisão do PO; documentação em docs/US44/ (PR #48); aceite pelo PO a 27/10.</t>
        </is>
      </c>
      <c r="M21" s="35" t="inlineStr">
        <is>
          <t>nova</t>
        </is>
      </c>
    </row>
    <row r="22" ht="75" customHeight="1" s="31">
      <c r="A22" s="35" t="n">
        <v>18</v>
      </c>
      <c r="B22" s="35" t="inlineStr">
        <is>
          <t>US43</t>
        </is>
      </c>
      <c r="C22" s="35" t="inlineStr">
        <is>
          <t>E4</t>
        </is>
      </c>
      <c r="D22" s="36" t="inlineStr">
        <is>
          <t>Partilhar o plano</t>
        </is>
      </c>
      <c r="E22" s="36" t="inlineStr">
        <is>
          <t>Como candidato, quero partilhar o meu plano com quem me ajuda a decidir (pais, explicador), com uma ligação só de leitura, para pedir opinião sem dar a minha palavra-passe.</t>
        </is>
      </c>
      <c r="F22" s="36" t="inlineStr">
        <is>
          <t>• Ligação com um código aleatório; quem a tem vê o plano sem iniciar sessão.
• Mostra o primeiro nome, as opções, a nota de candidatura e a situação; nunca o email, a média nem os exames.
• «Deixar de partilhar» invalida a ligação de imediato.
• A página não é indexada pelos motores de pesquisa.</t>
        </is>
      </c>
      <c r="G22" s="37" t="n">
        <v>3</v>
      </c>
      <c r="H22" s="35" t="inlineStr">
        <is>
          <t>Could</t>
        </is>
      </c>
      <c r="I22" s="37" t="inlineStr">
        <is>
          <t>Sprint 4</t>
        </is>
      </c>
      <c r="J22" s="37" t="inlineStr">
        <is>
          <t>Feito</t>
        </is>
      </c>
      <c r="K22" s="38" t="n"/>
      <c r="L22" s="38" t="inlineStr">
        <is>
          <t>Código de 23/10 no PR #44 (ideia proposta pelo Claude e aceite pelo PO), feito antes do sprint. 27/10: entra no Sprint 4 por decisão do PO; documentação em docs/US43/ (PR #48); aceite pelo PO a 27/10.</t>
        </is>
      </c>
      <c r="M22" s="35" t="inlineStr">
        <is>
          <t>nova</t>
        </is>
      </c>
    </row>
    <row r="23" ht="75" customHeight="1" s="31">
      <c r="A23" s="35" t="n">
        <v>19</v>
      </c>
      <c r="B23" s="35" t="inlineStr">
        <is>
          <t>US45</t>
        </is>
      </c>
      <c r="C23" s="35" t="inlineStr">
        <is>
          <t>E4</t>
        </is>
      </c>
      <c r="D23" s="36" t="inlineStr">
        <is>
          <t>Plano B: 2.ª fase</t>
        </is>
      </c>
      <c r="E23" s="36" t="inlineStr">
        <is>
          <t>Como candidato, quero ver cursos das áreas do meu plano que tiveram vagas na 2.ª fase e a que a minha nota chegava, para ter uma alternativa se não entrar na 1.ª fase.</t>
        </is>
      </c>
      <c r="F23" s="36" t="inlineStr">
        <is>
          <t>• Vagas, colocados e último colocado da 2.ª fase de 2025 (DGES).
• Só cursos fora do plano, das mesmas áreas, onde a nota da pessoa chegava ao último colocado da 2.ª fase (ou, sem essa nota, onde sobraram vagas).
• Aviso: as vagas da 2.ª fase são as que sobram da 1.ª e mudam todos os anos.</t>
        </is>
      </c>
      <c r="G23" s="37" t="n">
        <v>2</v>
      </c>
      <c r="H23" s="35" t="inlineStr">
        <is>
          <t>Could</t>
        </is>
      </c>
      <c r="I23" s="37" t="inlineStr">
        <is>
          <t>Sprint 4</t>
        </is>
      </c>
      <c r="J23" s="37" t="inlineStr">
        <is>
          <t>Feito</t>
        </is>
      </c>
      <c r="K23" s="38" t="n"/>
      <c r="L23" s="38" t="inlineStr">
        <is>
          <t>Código de 23/10 no PR #44 (ideia proposta pelo Claude e aceite pelo PO), feito antes do sprint. 27/10: entra no Sprint 4 por decisão do PO; documentação em docs/US45/ (PR #48); aceite pelo PO a 27/10.</t>
        </is>
      </c>
      <c r="M23" s="35" t="inlineStr">
        <is>
          <t>nova</t>
        </is>
      </c>
    </row>
    <row r="24" ht="75" customHeight="1" s="31">
      <c r="A24" s="35" t="n">
        <v>20</v>
      </c>
      <c r="B24" s="35" t="inlineStr">
        <is>
          <t>US37</t>
        </is>
      </c>
      <c r="C24" s="35" t="inlineStr">
        <is>
          <t>E3</t>
        </is>
      </c>
      <c r="D24" s="36" t="inlineStr">
        <is>
          <t>Assistente que conhece as minhas notas</t>
        </is>
      </c>
      <c r="E24" s="36" t="inlineStr">
        <is>
          <t>Como pessoa indecisa, quero que o assistente tenha em conta as provas que fiz e a minha nota, para não me sugerir cursos a que não posso concorrer.</t>
        </is>
      </c>
      <c r="F24" s="36" t="inlineStr">
        <is>
          <t>• Só com autorização da pessoa, o LLM recebe as provas feitas e um intervalo de nota (nunca a média exata, RNF12).
• Cursos a que falta uma prova não são sugeridos, ou vêm assinalados.
• Os testes usam o LLM falso.</t>
        </is>
      </c>
      <c r="G24" s="37" t="n">
        <v>3</v>
      </c>
      <c r="H24" s="35" t="inlineStr">
        <is>
          <t>Should</t>
        </is>
      </c>
      <c r="I24" s="37" t="inlineStr">
        <is>
          <t>Sprint 4</t>
        </is>
      </c>
      <c r="J24" s="37" t="inlineStr">
        <is>
          <t>Feito</t>
        </is>
      </c>
      <c r="K24" s="38" t="n"/>
      <c r="L24" s="38" t="inlineStr">
        <is>
          <t>29/10: feita e aceite pelo PO (PR #54). Só com autorização, o LLM recebe os exames e um intervalo da média. Revisão do Simão pendente. A conversa continua só para maiores de 18 (ponto 14 dos requisitos).</t>
        </is>
      </c>
      <c r="M24" s="35" t="inlineStr">
        <is>
          <t>nova</t>
        </is>
      </c>
    </row>
    <row r="25" ht="75" customHeight="1" s="31">
      <c r="A25" s="35" t="n">
        <v>21</v>
      </c>
      <c r="B25" s="35" t="inlineStr">
        <is>
          <t>US46</t>
        </is>
      </c>
      <c r="C25" s="35" t="inlineStr">
        <is>
          <t>E1</t>
        </is>
      </c>
      <c r="D25" s="36" t="inlineStr">
        <is>
          <t>Exportar os meus dados</t>
        </is>
      </c>
      <c r="E25" s="36" t="inlineStr">
        <is>
          <t>Como utilizador, quero descarregar todos os dados que o OptaBem guarda sobre mim, para exercer o meu direito de acesso e de portabilidade.</t>
        </is>
      </c>
      <c r="F25" s="36" t="inlineStr">
        <is>
          <t>• Ficheiro JSON com a conta (sem a palavra-passe), as decisões do percurso, as notas e o plano de candidatura.
• Pede a palavra-passe antes de descarregar.
• Nunca inclui dados de outros utilizadores.</t>
        </is>
      </c>
      <c r="G25" s="37" t="n">
        <v>2</v>
      </c>
      <c r="H25" s="35" t="inlineStr">
        <is>
          <t>Should</t>
        </is>
      </c>
      <c r="I25" s="37" t="inlineStr">
        <is>
          <t>Sprint 4</t>
        </is>
      </c>
      <c r="J25" s="37" t="inlineStr">
        <is>
          <t>Feito</t>
        </is>
      </c>
      <c r="K25" s="38" t="n"/>
      <c r="L25" s="38" t="inlineStr">
        <is>
          <t>29/10: feita e aceite pelo PO (PR #50). Revisão do Simão pendente. Falta incluir a autorização da US37 na exportação, depois de as duas entrarem na main.</t>
        </is>
      </c>
      <c r="M25" s="35" t="inlineStr">
        <is>
          <t>nova</t>
        </is>
      </c>
    </row>
    <row r="26" ht="75" customHeight="1" s="31">
      <c r="A26" s="35" t="n">
        <v>22</v>
      </c>
      <c r="B26" s="35" t="inlineStr">
        <is>
          <t>US47</t>
        </is>
      </c>
      <c r="C26" s="35" t="inlineStr">
        <is>
          <t>E1</t>
        </is>
      </c>
      <c r="D26" s="36" t="inlineStr">
        <is>
          <t>Recuperar a palavra-passe</t>
        </is>
      </c>
      <c r="E26" s="36" t="inlineStr">
        <is>
          <t>Como utilizador que se esqueceu da palavra-passe, quero receber uma ligação para definir uma nova, para não perder a conta.</t>
        </is>
      </c>
      <c r="F26" s="36" t="inlineStr">
        <is>
          <t>• Ligação de uso único, que expira ao fim de 1 hora.
• A mensagem é a mesma quer a conta exista quer não.
• Depois de mudar a palavra-passe, as sessões abertas terminam.</t>
        </is>
      </c>
      <c r="G26" s="37" t="n">
        <v>3</v>
      </c>
      <c r="H26" s="35" t="inlineStr">
        <is>
          <t>Should</t>
        </is>
      </c>
      <c r="I26" s="37" t="inlineStr">
        <is>
          <t>Sprint 4</t>
        </is>
      </c>
      <c r="J26" s="37" t="inlineStr">
        <is>
          <t>Feito</t>
        </is>
      </c>
      <c r="K26" s="38" t="n"/>
      <c r="L26" s="38" t="inlineStr">
        <is>
          <t>29/10: feita e aceite pelo PO (PR #51), com envio real de emails por SMTP. Revisão do Simão pendente.</t>
        </is>
      </c>
      <c r="M26" s="35" t="inlineStr">
        <is>
          <t>nova</t>
        </is>
      </c>
    </row>
    <row r="27" ht="75" customHeight="1" s="31">
      <c r="A27" s="35" t="n">
        <v>23</v>
      </c>
      <c r="B27" s="35" t="inlineStr">
        <is>
          <t>US39</t>
        </is>
      </c>
      <c r="C27" s="35" t="inlineStr">
        <is>
          <t>E2</t>
        </is>
      </c>
      <c r="D27" s="36" t="inlineStr">
        <is>
          <t>Corrigir e esconder cursos do catálogo (gestão)</t>
        </is>
      </c>
      <c r="E27" s="36" t="inlineStr">
        <is>
          <t>Como administrador, quero corrigir a descrição e as saídas profissionais de um curso, ou escondê-lo, para o catálogo não ter erros sem mexer no ficheiro.</t>
        </is>
      </c>
      <c r="F27" s="36" t="inlineStr">
        <is>
          <t>• Só na área de gestão.
• As correções ficam na base de dados, por cima dos dados da DGES (a recolha seguinte não as apaga).
• Fica registado quem alterou e quando.
• Sem acesso aos dados dos alunos.</t>
        </is>
      </c>
      <c r="G27" s="37" t="n">
        <v>5</v>
      </c>
      <c r="H27" s="35" t="inlineStr">
        <is>
          <t>Should</t>
        </is>
      </c>
      <c r="I27" s="37" t="inlineStr">
        <is>
          <t>Sprint 4</t>
        </is>
      </c>
      <c r="J27" s="37" t="inlineStr">
        <is>
          <t>Feito</t>
        </is>
      </c>
      <c r="K27" s="38" t="n"/>
      <c r="L27" s="38" t="inlineStr">
        <is>
          <t>29/10: feita e aceite pelo PO (PR #53). Sem acesso aos dados dos alunos. Revisão do Simão pendente. Medir o desempenho com o catálogo completo (US48).</t>
        </is>
      </c>
      <c r="M27" s="35" t="inlineStr">
        <is>
          <t>nova</t>
        </is>
      </c>
    </row>
    <row r="28" ht="75" customHeight="1" s="31">
      <c r="A28" s="35" t="n">
        <v>24</v>
      </c>
      <c r="B28" s="35" t="inlineStr">
        <is>
          <t>US38</t>
        </is>
      </c>
      <c r="C28" s="35" t="inlineStr">
        <is>
          <t>E4</t>
        </is>
      </c>
      <c r="D28" s="36" t="inlineStr">
        <is>
          <t>Datas do concurso no percurso</t>
        </is>
      </c>
      <c r="E28" s="36" t="inlineStr">
        <is>
          <t>Como candidato, quero ver as datas das fases do concurso nacional, para não falhar prazos.</t>
        </is>
      </c>
      <c r="F28" s="36" t="inlineStr">
        <is>
          <t>• Datas das 3 fases do concurso, com a ligação para a DGES.
• O passo atual do percurso mostra o próximo prazo.</t>
        </is>
      </c>
      <c r="G28" s="37" t="n">
        <v>2</v>
      </c>
      <c r="H28" s="35" t="inlineStr">
        <is>
          <t>Could</t>
        </is>
      </c>
      <c r="I28" s="37" t="inlineStr">
        <is>
          <t>Sprint 4</t>
        </is>
      </c>
      <c r="J28" s="37" t="inlineStr">
        <is>
          <t>Feito</t>
        </is>
      </c>
      <c r="K28" s="38" t="n"/>
      <c r="L28" s="38" t="inlineStr">
        <is>
          <t>29/10: feita e aceite pelo PO (PR #52), com as datas de 2026. Revisão do Simão pendente. Acrescentar as datas de 2027 quando forem publicadas.</t>
        </is>
      </c>
      <c r="M28" s="35" t="inlineStr">
        <is>
          <t>nova</t>
        </is>
      </c>
    </row>
    <row r="29" ht="75" customHeight="1" s="31">
      <c r="A29" s="35" t="n">
        <v>25</v>
      </c>
      <c r="B29" s="35" t="inlineStr">
        <is>
          <t>US48</t>
        </is>
      </c>
      <c r="C29" s="35" t="inlineStr">
        <is>
          <t>E2</t>
        </is>
      </c>
      <c r="D29" s="36" t="inlineStr">
        <is>
          <t>Recolha completa das licenciaturas (DGES)</t>
        </is>
      </c>
      <c r="E29" s="36" t="inlineStr">
        <is>
          <t>Como pessoa indecisa, quero que o catálogo tenha todas as licenciaturas e mestrados integrados do concurso nacional, para não deixar de fora um curso que me sirva.</t>
        </is>
      </c>
      <c r="F29" s="36" t="inlineStr">
        <is>
          <t>• O script da US04 corre até ao fim sobre todas as instituições do concurso nacional.
• O dados/README.md diz quantos cursos ficaram e quantos não têm condições de acesso ou nota do último colocado.
• A aplicação e os testes continuam a funcionar com o catálogo completo (RNF03: páginas em menos de 2 s).</t>
        </is>
      </c>
      <c r="G29" s="37" t="n">
        <v>2</v>
      </c>
      <c r="H29" s="35" t="inlineStr">
        <is>
          <t>Should</t>
        </is>
      </c>
      <c r="I29" s="37" t="inlineStr">
        <is>
          <t>Backlog</t>
        </is>
      </c>
      <c r="J29" s="37" t="inlineStr">
        <is>
          <t>Por fazer</t>
        </is>
      </c>
      <c r="K29" s="38" t="n"/>
      <c r="L29" s="38" t="inlineStr">
        <is>
          <t>27/10: separada da US04 (decisão do PO). O código já existe; falta correr a recolha, que exige o computador ligado uma noite inteira.</t>
        </is>
      </c>
      <c r="M29" s="35" t="inlineStr">
        <is>
          <t>nova</t>
        </is>
      </c>
    </row>
    <row r="30" ht="15" customHeight="1" s="31">
      <c r="F30" s="39" t="inlineStr">
        <is>
          <t>Total de story points</t>
        </is>
      </c>
      <c r="G30" s="39">
        <f>SUM(G5:G29)</f>
        <v/>
      </c>
    </row>
    <row r="31" ht="15" customHeight="1" s="31">
      <c r="F31" s="39" t="inlineStr">
        <is>
          <t>Story points concluídos (Estado = Feito)</t>
        </is>
      </c>
      <c r="G31" s="39">
        <f>SUMIF(J5:J29,"Feito",G5:G29)</f>
        <v/>
      </c>
    </row>
    <row r="32" ht="30" customHeight="1" s="31">
      <c r="F32" s="40" t="inlineStr">
        <is>
          <t>Nota (27/10): as 22 stories das opcionais e a US32 (fundida na US29) estão na folha «Arquivo (opcionais)», com o motivo de cada uma. As US40 a US45 entraram no Sprint 4 a 27/10 (decisão do PO): o código estava feito; no sprint sobra documentação, testes e revisão.</t>
        </is>
      </c>
    </row>
    <row r="33" ht="15" customHeight="1" s="31"/>
    <row r="34" ht="15" customHeight="1" s="31"/>
    <row r="35" ht="75" customHeight="1" s="31"/>
    <row r="36" ht="75" customHeight="1" s="31"/>
    <row r="37" ht="75" customHeight="1" s="31"/>
    <row r="38" ht="75" customHeight="1" s="31"/>
    <row r="39" ht="75" customHeight="1" s="31"/>
    <row r="40" ht="75" customHeight="1" s="31"/>
    <row r="41" ht="75" customHeight="1" s="31"/>
    <row r="42" ht="75" customHeight="1" s="31"/>
    <row r="43" ht="75" customHeight="1" s="31"/>
    <row r="44" ht="75" customHeight="1" s="31"/>
    <row r="45" ht="75" customHeight="1" s="31"/>
    <row r="46" ht="75" customHeight="1" s="31"/>
    <row r="47" ht="75" customHeight="1" s="31"/>
    <row r="48" ht="75" customHeight="1" s="31"/>
    <row r="49" ht="75" customHeight="1" s="31"/>
    <row r="50" ht="42.75" customHeight="1" s="31"/>
    <row r="51" ht="14.25" customHeight="1" s="31"/>
    <row r="52" ht="42.75" customHeight="1" s="31"/>
  </sheetData>
  <autoFilter ref="A4:M29"/>
  <conditionalFormatting sqref="J5:J29">
    <cfRule type="cellIs" rank="0" priority="2" equalAverage="0" operator="equal" aboveAverage="0" dxfId="11" text="" percent="0" bottom="0">
      <formula>"Feito"</formula>
    </cfRule>
    <cfRule type="cellIs" rank="0" priority="3" equalAverage="0" operator="equal" aboveAverage="0" dxfId="12" text="" percent="0" bottom="0">
      <formula>"Em curso"</formula>
    </cfRule>
    <cfRule type="cellIs" rank="0" priority="4" equalAverage="0" operator="equal" aboveAverage="0" dxfId="13" text="" percent="0" bottom="0">
      <formula>"Protótipo"</formula>
    </cfRule>
  </conditionalFormatting>
  <conditionalFormatting sqref="H5:H29">
    <cfRule type="cellIs" rank="0" priority="5" equalAverage="0" operator="equal" aboveAverage="0" dxfId="14" text="" percent="0" bottom="0">
      <formula>"Must"</formula>
    </cfRule>
    <cfRule type="cellIs" rank="0" priority="6" equalAverage="0" operator="equal" aboveAverage="0" dxfId="13" text="" percent="0" bottom="0">
      <formula>"Should"</formula>
    </cfRule>
    <cfRule type="cellIs" rank="0" priority="7" equalAverage="0" operator="equal" aboveAverage="0" dxfId="16" text="" percent="0" bottom="0">
      <formula>"Could"</formula>
    </cfRule>
    <cfRule type="cellIs" rank="0" priority="8" equalAverage="0" operator="equal" aboveAverage="0" dxfId="17" text="" percent="0" bottom="0">
      <formula>"Won't"</formula>
    </cfRule>
  </conditionalFormatting>
  <conditionalFormatting sqref="I5:I29">
    <cfRule type="cellIs" rank="0" priority="9" equalAverage="0" operator="equal" aboveAverage="0" dxfId="13" text="" percent="0" bottom="0">
      <formula>"Sprint 1"</formula>
    </cfRule>
    <cfRule type="cellIs" rank="0" priority="10" equalAverage="0" operator="equal" aboveAverage="0" dxfId="16" text="" percent="0" bottom="0">
      <formula>"Sprint 2"</formula>
    </cfRule>
    <cfRule type="cellIs" rank="0" priority="11" equalAverage="0" operator="equal" aboveAverage="0" dxfId="18" text="" percent="0" bottom="0">
      <formula>"Sprint 3"</formula>
    </cfRule>
    <cfRule type="cellIs" rank="0" priority="12" equalAverage="0" operator="equal" aboveAverage="0" dxfId="19" text="" percent="0" bottom="0">
      <formula>"Sprint 4"</formula>
    </cfRule>
    <cfRule type="cellIs" rank="0" priority="13" equalAverage="0" operator="equal" aboveAverage="0" dxfId="20" text="" percent="0" bottom="0">
      <formula>"Backlog"</formula>
    </cfRule>
  </conditionalFormatting>
  <dataValidations count="4">
    <dataValidation sqref="G5:G29" showDropDown="0" showInputMessage="0" showErrorMessage="0" allowBlank="1" type="list" errorStyle="stop" operator="between">
      <formula1>"1,2,3,5,8,13,21"</formula1>
      <formula2>0</formula2>
    </dataValidation>
    <dataValidation sqref="H5:H29" showDropDown="0" showInputMessage="0" showErrorMessage="0" allowBlank="1" type="list" errorStyle="stop" operator="between">
      <formula1>"Must,Should,Could,Won't"</formula1>
      <formula2>0</formula2>
    </dataValidation>
    <dataValidation sqref="I5:I29" showDropDown="0" showInputMessage="0" showErrorMessage="0" allowBlank="1" type="list" errorStyle="stop" operator="between">
      <formula1>"Sprint 1,Sprint 2,Sprint 3,Sprint 4,Backlog"</formula1>
      <formula2>0</formula2>
    </dataValidation>
    <dataValidation sqref="J5:J29" showDropDown="0" showInputMessage="0" showErrorMessage="0" allowBlank="1" type="list" errorStyle="stop" operator="between">
      <formula1>"Por fazer,Protótipo,Em curso,Feito"</formula1>
      <formula2>0</formula2>
    </dataValidation>
  </dataValidations>
  <printOptions horizontalCentered="0" verticalCentered="0" headings="0" gridLines="0" gridLinesSet="1"/>
  <pageMargins left="0.4" right="0.4" top="1" bottom="1" header="0.511811023622047" footer="0.511811023622047"/>
  <pageSetup orientation="landscape" paperSize="9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1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0" min="1" max="1"/>
    <col width="52" customWidth="1" style="30" min="2" max="2"/>
    <col width="40" customWidth="1" style="30" min="3" max="3"/>
    <col width="12" customWidth="1" style="30" min="4" max="4"/>
    <col width="11" customWidth="1" style="30" min="5" max="5"/>
    <col width="9" customWidth="1" style="30" min="6" max="6"/>
    <col width="14" customWidth="1" style="30" min="7" max="7"/>
    <col width="10" customWidth="1" style="30" min="8" max="8"/>
  </cols>
  <sheetData>
    <row r="1" ht="17.25" customHeight="1" s="31">
      <c r="A1" s="32" t="inlineStr">
        <is>
          <t>Plano de sprints — OptaBem</t>
        </is>
      </c>
    </row>
    <row r="2" ht="15" customHeight="1" s="31">
      <c r="A2" s="41" t="inlineStr">
        <is>
          <t>Calculado a partir da folha «Product Backlog»: mudar o Sprint ou o Estado de uma story lá atualiza esta tabela.</t>
        </is>
      </c>
    </row>
    <row r="3" ht="15" customHeight="1" s="31">
      <c r="A3" s="42" t="inlineStr">
        <is>
          <t>Velocidade por sprint (SP) — real do Sprint 1</t>
        </is>
      </c>
      <c r="C3" s="37" t="n">
        <v>10</v>
      </c>
    </row>
    <row r="4"/>
    <row r="5" ht="23.25" customHeight="1" s="31">
      <c r="A5" s="34" t="inlineStr">
        <is>
          <t>Sprint</t>
        </is>
      </c>
      <c r="B5" s="34" t="inlineStr">
        <is>
          <t>Sprint Goal</t>
        </is>
      </c>
      <c r="C5" s="34" t="inlineStr">
        <is>
          <t>Stories</t>
        </is>
      </c>
      <c r="D5" s="34" t="inlineStr">
        <is>
          <t>SP planeados</t>
        </is>
      </c>
      <c r="E5" s="34" t="inlineStr">
        <is>
          <t>SP feitos</t>
        </is>
      </c>
      <c r="F5" s="34" t="inlineStr">
        <is>
          <t>% feito</t>
        </is>
      </c>
      <c r="G5" s="34" t="inlineStr">
        <is>
          <t>Folga face à velocidade</t>
        </is>
      </c>
      <c r="H5" s="34" t="inlineStr">
        <is>
          <t>Nº stories</t>
        </is>
      </c>
    </row>
    <row r="6" ht="42" customHeight="1" s="31">
      <c r="A6" s="43" t="inlineStr">
        <is>
          <t>Sprint 1</t>
        </is>
      </c>
      <c r="B6" s="44" t="inlineStr">
        <is>
          <t>Um aluno cria conta, entra e sai, e há um administrador com permissões próprias.</t>
        </is>
      </c>
      <c r="C6" s="44" t="inlineStr">
        <is>
          <t>US01, US02, US03</t>
        </is>
      </c>
      <c r="D6" s="35">
        <f>SUMIF('Product Backlog'!$I$5:$I$29,$A6,'Product Backlog'!$G$5:$G$29)</f>
        <v/>
      </c>
      <c r="E6" s="35">
        <f>SUMIFS('Product Backlog'!$G$5:$G$29,'Product Backlog'!$I$5:$I$29,$A6,'Product Backlog'!$J$5:$J$29,"Feito")</f>
        <v/>
      </c>
      <c r="F6" s="45">
        <f>IF(D6=0,0,E6/D6)</f>
        <v/>
      </c>
      <c r="G6" s="46">
        <f>$C$3-D6</f>
        <v/>
      </c>
      <c r="H6" s="35">
        <f>COUNTIF('Product Backlog'!$I$5:$I$29,$A6)</f>
        <v/>
      </c>
    </row>
    <row r="7" ht="42" customHeight="1" s="31">
      <c r="A7" s="47" t="inlineStr">
        <is>
          <t>Sprint 2</t>
        </is>
      </c>
      <c r="B7" s="44" t="inlineStr">
        <is>
          <t>Uma pessoa indecisa conversa com o assistente (LLM), recebe 2 a 3 cursos do catálogo com explicação e escolhe um, ficando a decisão registada no percurso.</t>
        </is>
      </c>
      <c r="C7" s="44" t="inlineStr">
        <is>
          <t>US29, US30, US31</t>
        </is>
      </c>
      <c r="D7" s="35">
        <f>SUMIF('Product Backlog'!$I$5:$I$29,$A7,'Product Backlog'!$G$5:$G$29)</f>
        <v/>
      </c>
      <c r="E7" s="35">
        <f>SUMIFS('Product Backlog'!$G$5:$G$29,'Product Backlog'!$I$5:$I$29,$A7,'Product Backlog'!$J$5:$J$29,"Feito")</f>
        <v/>
      </c>
      <c r="F7" s="45">
        <f>IF(D7=0,0,E7/D7)</f>
        <v/>
      </c>
      <c r="G7" s="46">
        <f>$C$3-D7</f>
        <v/>
      </c>
      <c r="H7" s="35">
        <f>COUNTIF('Product Backlog'!$I$5:$I$29,$A7)</f>
        <v/>
      </c>
    </row>
    <row r="8" ht="42" customHeight="1" s="31">
      <c r="A8" s="48" t="inlineStr">
        <is>
          <t>Sprint 3</t>
        </is>
      </c>
      <c r="B8" s="44" t="inlineStr">
        <is>
          <t>Uma pessoa indecisa filtra, consulta e compara cursos de várias instituições, e pode apagar a sua conta e todos os seus dados (22/10 a 29/10; concluído a 23/10).</t>
        </is>
      </c>
      <c r="C8" s="44" t="inlineStr">
        <is>
          <t>US05, US17</t>
        </is>
      </c>
      <c r="D8" s="35">
        <f>SUMIF('Product Backlog'!$I$5:$I$29,$A8,'Product Backlog'!$G$5:$G$29)</f>
        <v/>
      </c>
      <c r="E8" s="35">
        <f>SUMIFS('Product Backlog'!$G$5:$G$29,'Product Backlog'!$I$5:$I$29,$A8,'Product Backlog'!$J$5:$J$29,"Feito")</f>
        <v/>
      </c>
      <c r="F8" s="45">
        <f>IF(D8=0,0,E8/D8)</f>
        <v/>
      </c>
      <c r="G8" s="46">
        <f>$C$3-D8</f>
        <v/>
      </c>
      <c r="H8" s="35">
        <f>COUNTIF('Product Backlog'!$I$5:$I$29,$A8)</f>
        <v/>
      </c>
    </row>
    <row r="9" ht="42" customHeight="1" s="31">
      <c r="A9" s="49" t="inlineStr">
        <is>
          <t>Sprint 4</t>
        </is>
      </c>
      <c r="B9" s="44" t="inlineStr">
        <is>
          <t>Quem escolheu um curso prepara a candidatura: vê as condições de acesso, a tendência e a procura de cada curso, indica as suas notas, vê a sua nota em cada curso e quanto precisa nos exames, ordena as 6 opções, descobre que exames lhe abrem mais portas, tem um plano B para a 2.ª fase e pode partilhar o plano; o catálogo passa a ter as licenciaturas da DGES. Alargado a 29/10: exportar os dados, recuperar a palavra-passe, corrigir o catálogo, as datas do concurso e um assistente que conhece as notas (29/10 a 05/11).</t>
        </is>
      </c>
      <c r="C9" s="44" t="inlineStr">
        <is>
          <t>US04, US33–US36, US40–US45, US37–US39, US46, US47</t>
        </is>
      </c>
      <c r="D9" s="35">
        <f>SUMIF('Product Backlog'!$I$5:$I$29,$A9,'Product Backlog'!$G$5:$G$29)</f>
        <v/>
      </c>
      <c r="E9" s="35">
        <f>SUMIFS('Product Backlog'!$G$5:$G$29,'Product Backlog'!$I$5:$I$29,$A9,'Product Backlog'!$J$5:$J$29,"Feito")</f>
        <v/>
      </c>
      <c r="F9" s="45">
        <f>IF(D9=0,0,E9/D9)</f>
        <v/>
      </c>
      <c r="G9" s="46">
        <f>$C$3-D9</f>
        <v/>
      </c>
      <c r="H9" s="35">
        <f>COUNTIF('Product Backlog'!$I$5:$I$29,$A9)</f>
        <v/>
      </c>
    </row>
    <row r="10" ht="42" customHeight="1" s="31">
      <c r="A10" s="35" t="inlineStr">
        <is>
          <t>Backlog</t>
        </is>
      </c>
      <c r="B10" s="44" t="inlineStr">
        <is>
          <t>Fora desta release, por ordem de prioridade. As opcionais estão na folha «Arquivo (opcionais)».</t>
        </is>
      </c>
      <c r="C10" s="44" t="inlineStr">
        <is>
          <t>US48</t>
        </is>
      </c>
      <c r="D10" s="35">
        <f>SUMIF('Product Backlog'!$I$5:$I$29,$A10,'Product Backlog'!$G$5:$G$29)</f>
        <v/>
      </c>
      <c r="E10" s="35">
        <f>SUMIFS('Product Backlog'!$G$5:$G$29,'Product Backlog'!$I$5:$I$29,$A10,'Product Backlog'!$J$5:$J$29,"Feito")</f>
        <v/>
      </c>
      <c r="F10" s="45">
        <f>IF(D10=0,0,E10/D10)</f>
        <v/>
      </c>
      <c r="G10" s="46" t="inlineStr">
        <is>
          <t>—</t>
        </is>
      </c>
      <c r="H10" s="35">
        <f>COUNTIF('Product Backlog'!$I$5:$I$29,$A10)</f>
        <v/>
      </c>
    </row>
    <row r="11" ht="15" customHeight="1" s="31">
      <c r="A11" s="50" t="inlineStr">
        <is>
          <t>Total</t>
        </is>
      </c>
      <c r="B11" s="50" t="n"/>
      <c r="C11" s="50" t="n"/>
      <c r="D11" s="51">
        <f>SUM(D6:D10)</f>
        <v/>
      </c>
      <c r="E11" s="51">
        <f>SUM(E6:E10)</f>
        <v/>
      </c>
      <c r="F11" s="52">
        <f>IF(D11=0,0,E11/D11)</f>
        <v/>
      </c>
      <c r="G11" s="51" t="n"/>
      <c r="H11" s="51">
        <f>SUM(H6:H10)</f>
        <v/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 ht="15" customHeight="1" s="31">
      <c r="A29" s="53" t="inlineStr">
        <is>
          <t>Replaneamento de 07/10/2026 (decisão do Product Owner)</t>
        </is>
      </c>
    </row>
    <row r="30" ht="15" customHeight="1" s="31">
      <c r="A30" s="54" t="inlineStr">
        <is>
          <t>• O Sprint 1 tinha 24 SP planeados e a equipa concluiu 5 (registo e autenticação): o plano foi ajustado à velocidade real.</t>
        </is>
      </c>
    </row>
    <row r="31" ht="15" customHeight="1" s="31">
      <c r="A31" s="54" t="inlineStr">
        <is>
          <t>• Story nova: US03 — Perfis de aluno e administrador (RF04, que não tinha story). Entra no Sprint 1 porque a importação do catálogo (US04) precisa de um administrador.</t>
        </is>
      </c>
    </row>
    <row r="32" ht="15" customHeight="1" s="31">
      <c r="A32" s="54" t="inlineStr">
        <is>
          <t>• As stories do catálogo, percurso e avaliações (US04 a US08) passam do Sprint 1 para o Sprint 2, com a pseudonimização (US09) para as avaliações serem anónimas desde o início.</t>
        </is>
      </c>
    </row>
    <row r="33" ht="15" customHeight="1" s="31">
      <c r="A33" s="54" t="inlineStr">
        <is>
          <t>• A explicação da recomendação passa para o Sprint 3; avaliação offline, períodos de avaliação, comentários e filtros para o Sprint 4.</t>
        </is>
      </c>
    </row>
    <row r="34" ht="15" customHeight="1" s="31">
      <c r="A34" s="54" t="inlineStr">
        <is>
          <t>• Preferência de carga e comparação de estratégias passam para o Backlog; o SVD (antiga US22) fica fora do plano.</t>
        </is>
      </c>
    </row>
    <row r="35" ht="15" customHeight="1" s="31">
      <c r="A35" s="54" t="inlineStr">
        <is>
          <t>• Escala das avaliações corrigida de 1–20 para 1–5 (igual ao resto do projeto).</t>
        </is>
      </c>
    </row>
    <row r="36" ht="15" customHeight="1" s="31">
      <c r="A36" s="54" t="inlineStr">
        <is>
          <t>• As stories foram renumeradas pela nova ordem (US01 a US28). A coluna «ID anterior» da folha «Product Backlog» mostra o número antigo.</t>
        </is>
      </c>
    </row>
    <row r="37"/>
    <row r="38" ht="15" customHeight="1" s="31">
      <c r="A38" s="53" t="inlineStr">
        <is>
          <t>Replaneamento de 13/10/2026 (decisão dos Product Owners, com sugestões do docente)</t>
        </is>
      </c>
    </row>
    <row r="39" ht="15" customHeight="1" s="31">
      <c r="A39" s="54" t="inlineStr">
        <is>
          <t>• Nova visão do produto: o utilizador pode ainda não ter curso; o OptaBem orienta a escolha do curso e depois a das opcionais (docs/geral/00-visao-do-produto.md).</t>
        </is>
      </c>
    </row>
    <row r="40" ht="15" customHeight="1" s="31">
      <c r="A40" s="54" t="inlineStr">
        <is>
          <t>• Catálogo com várias instituições: MVP com 12 instituições e 30 licenciaturas (dados/catalogo-cursos-mvp.csv, fonte DGES).</t>
        </is>
      </c>
    </row>
    <row r="41" ht="15" customHeight="1" s="31">
      <c r="A41" s="54" t="inlineStr">
        <is>
          <t>• Stories novas: US29 (questionário), US30 (sugestão de cursos com LLM) e US31 (escolher curso e linha do tempo). Épico novo E11.</t>
        </is>
      </c>
    </row>
    <row r="42" ht="15" customHeight="1" s="31">
      <c r="A42" s="54" t="inlineStr">
        <is>
          <t>• US04 e US05 passam a tratar instituições e cursos; US06 inclui a importação das UCs e passa para o Sprint 4.</t>
        </is>
      </c>
    </row>
    <row r="43" ht="15" customHeight="1" s="31">
      <c r="A43" s="54" t="inlineStr">
        <is>
          <t>• US08, US10 e US12 a US20 passam para o Backlog; as que eram Must passam a Should nesta release.</t>
        </is>
      </c>
    </row>
    <row r="44" ht="15" customHeight="1" s="31">
      <c r="A44" s="54" t="inlineStr">
        <is>
          <t>• A partir de 13/10 os IDs ficam fixos (stories novas recebem o número seguinte). A ordem de trabalho é a deste plano.</t>
        </is>
      </c>
    </row>
    <row r="45" ht="15" customHeight="1" s="31">
      <c r="A45" s="54" t="inlineStr">
        <is>
          <t>• Atenção: o plano soma 13, 13 e 18 SP; a velocidade real do Sprint 1 foi 10 SP (ponto 10 da secção 5 dos requisitos).</t>
        </is>
      </c>
    </row>
    <row r="46"/>
    <row r="47" ht="15" customHeight="1" s="31">
      <c r="A47" s="53" t="inlineStr">
        <is>
          <t>Revisão de 14/10/2026 (decisões dos Product Owners)</t>
        </is>
      </c>
    </row>
    <row r="48" ht="15" customHeight="1" s="31">
      <c r="A48" s="54" t="inlineStr">
        <is>
          <t>• US03 revista: um só início de sessão para alunos e administradores (design patterns Strategy, Chain of Responsibility e Factory).</t>
        </is>
      </c>
    </row>
    <row r="49" ht="15" customHeight="1" s="31">
      <c r="A49" s="54" t="inlineStr">
        <is>
          <t>• US05 começada antes do Sprint 2: pesquisa de cursos reais na página de apresentação. Os SP contam no Sprint 2, quando a story estiver completa.</t>
        </is>
      </c>
    </row>
    <row r="50" ht="15" customHeight="1" s="31">
      <c r="A50" s="54" t="inlineStr">
        <is>
          <t>• Story nova US32 (assistente LLM que conversa com o utilizador), no Backlog e por avaliar: decidir âmbito, custo e privacidade antes de estimar.</t>
        </is>
      </c>
    </row>
    <row r="51" ht="15" customHeight="1" s="31">
      <c r="A51" s="54" t="inlineStr">
        <is>
          <t>• Redesenho visual do site (sem story própria): fica registado no PR #14 e no registo de uso de IA.</t>
        </is>
      </c>
    </row>
    <row r="52"/>
    <row r="53" ht="15" customHeight="1" s="31">
      <c r="A53" s="53" t="inlineStr">
        <is>
          <t>Replaneamento de 14/10/2026 (decisão do PO na issue #15)</t>
        </is>
      </c>
    </row>
    <row r="54" ht="15" customHeight="1" s="31">
      <c r="A54" s="54" t="inlineStr">
        <is>
          <t>• As perguntas deixam de ser fixas: o LLM conduz a conversa. US29 reescrita (conversa, 5 SP) e US32 fundida nela; US30 passa a ser o fim da conversa (3 SP).</t>
        </is>
      </c>
    </row>
    <row r="55" ht="15" customHeight="1" s="31">
      <c r="A55" s="54" t="inlineStr">
        <is>
          <t>• Spike técnico feito antes do Sprint 2 (PR #17): Gemini e Groq atrás de ClienteLLM, testes sem rede, conclusões em docs/geral/05-spike-llm.md. Não tem SP.</t>
        </is>
      </c>
    </row>
    <row r="56" ht="15" customHeight="1" s="31">
      <c r="A56" s="54" t="inlineStr">
        <is>
          <t>• O LLM passa para o Sprint 2. Velocidade ajustada à real (de 23 para 10 SP): Sprint 2 com 8 SP (2 de folga pela tecnologia nova), Sprints 3 e 4 com 10 SP.</t>
        </is>
      </c>
    </row>
    <row r="57" ht="15" customHeight="1" s="31">
      <c r="A57" s="54" t="inlineStr">
        <is>
          <t>• US05 passa para o Sprint 3. US04, US09 e US11 passam para o Backlog (Must → Should). A US07 guarda as avaliações com pseudo_id desde o início.</t>
        </is>
      </c>
    </row>
    <row r="58" ht="15" customHeight="1" s="31">
      <c r="A58" s="54" t="inlineStr">
        <is>
          <t>• Consequência: nesta release não há recomendação de opcionais (US11). Se houver um Sprint 5, entram primeiro a US09 e a US11 (8 SP).</t>
        </is>
      </c>
    </row>
    <row r="59" ht="15" customHeight="1" s="31">
      <c r="A59" s="54" t="inlineStr">
        <is>
          <t>• Por decidir antes do Sprint 2: idade mínima e plano do Gemini (os termos excluem menores de 18 e o plano gratuito com utilizadores no EEE).</t>
        </is>
      </c>
    </row>
    <row r="60" ht="15" customHeight="1" s="31">
      <c r="A60" s="53" t="inlineStr">
        <is>
          <t>Sprint Planning do Sprint 2 (20/10/2026, decisão do PO)</t>
        </is>
      </c>
    </row>
    <row r="61" ht="15" customHeight="1" s="31">
      <c r="A61" s="54" t="inlineStr">
        <is>
          <t>• A US29 e a US30 (8 SP) foram feitas antes de o sprint começar (PR #19, #20 e #22 a #24). Para o sprint ter trabalho novo, entra a US31 (5 SP), antecipada do Sprint 3.</t>
        </is>
      </c>
    </row>
    <row r="62" ht="15" customHeight="1" s="31">
      <c r="A62" s="54" t="inlineStr">
        <is>
          <t>• O Sprint 2 fica com 13 SP planeados, acima da velocidade (10), mas só 5 SP são trabalho novo. O Sprint 3 fica com a US05 (5 SP) e 5 SP por planear: rever no fim do Sprint 2.</t>
        </is>
      </c>
    </row>
    <row r="63" ht="15" customHeight="1" s="31">
      <c r="A63" s="54" t="inlineStr">
        <is>
          <t>• Ponto 14 decidido: o OptaBem é um protótipo usado pela equipa e na demonstração, com aviso de 18+ na conversa; fica escrito no relatório.</t>
        </is>
      </c>
    </row>
    <row r="64" ht="15" customHeight="1" s="31">
      <c r="A64" s="54" t="inlineStr">
        <is>
          <t>• Servidor Ollama da faculdade testado e posto de parte: lento e não obedece ao pedido de sugestão (PR #25 e #26; 05-spike-llm.md, secção 7). Fica o Gemini.</t>
        </is>
      </c>
    </row>
    <row r="65"/>
    <row r="66" ht="15" customHeight="1" s="31">
      <c r="A66" s="53" t="inlineStr">
        <is>
          <t>Sprint Review do Sprint 2 e Sprint Planning do Sprint 3 (22/10/2026, decisão dos PO)</t>
        </is>
      </c>
    </row>
    <row r="67" ht="15" customHeight="1" s="31">
      <c r="A67" s="54" t="inlineStr">
        <is>
          <t>• Sprint Review: US29, US30 e US31 aceites, 13 de 13 SP. O percurso completo foi testado com o Gemini real, também noutro computador.</t>
        </is>
      </c>
    </row>
    <row r="68" ht="15" customHeight="1" s="31">
      <c r="A68" s="54" t="inlineStr">
        <is>
          <t>• Até à entrega de 05/11, o centro do produto são os cursos. As opcionais saíram do site (PR #33) e as suas stories passam para segundo plano: US06 e US07 saem do Sprint 4 (Must → Should).</t>
        </is>
      </c>
    </row>
    <row r="69" ht="15" customHeight="1" s="31">
      <c r="A69" s="54" t="inlineStr">
        <is>
          <t>• Sprints de uma semana: Sprint 3 de 22/10 a 29/10 e Sprint 4 de 29/10 a 05/11.</t>
        </is>
      </c>
    </row>
    <row r="70" ht="15" customHeight="1" s="31">
      <c r="A70" s="54" t="inlineStr">
        <is>
          <t>• Sprint 3: US05 (5 SP) e US17 (3 SP, sobe do Backlog e passa a Must), com 2 SP de folga.</t>
        </is>
      </c>
    </row>
    <row r="71" ht="15" customHeight="1" s="31">
      <c r="A71" s="54" t="inlineStr">
        <is>
          <t>• Sprint 4: uma story nova a decidir com o docente; a US04 entra se houver folga. O código fecha por volta de 03/11, para o relatório e a demonstração.</t>
        </is>
      </c>
    </row>
    <row r="72" ht="15" customHeight="1" s="31">
      <c r="A72" s="54" t="inlineStr">
        <is>
          <t>• A revisão de 22/10 (segurança do túnel, menu do aluno, textos) fica adiada por decisão do PO; o túnel é só para a equipa.</t>
        </is>
      </c>
    </row>
    <row r="73"/>
    <row r="74" ht="15" customHeight="1" s="31">
      <c r="A74" s="53" t="inlineStr">
        <is>
          <t>Sprint Review do Sprint 3 (23/10/2026, decisão dos PO)</t>
        </is>
      </c>
    </row>
    <row r="75" ht="15" customHeight="1" s="31">
      <c r="A75" s="54" t="inlineStr">
        <is>
          <t>• US05 e US17 aceites, 7 de 7 SP. As duas stories foram testadas pelos PO (filtros, ficha, comparação e apagar a conta).</t>
        </is>
      </c>
    </row>
    <row r="76" ht="15" customHeight="1" s="31">
      <c r="A76" s="54" t="inlineStr">
        <is>
          <t>• O sprint fecha antes de 29/10 porque o objetivo foi cumprido. Entrou também, sem story, o menu fixo no topo (PR #40).</t>
        </is>
      </c>
    </row>
    <row r="77" ht="15" customHeight="1" s="31">
      <c r="A77" s="54" t="inlineStr">
        <is>
          <t>• No fecho, um teste da US17 que dependia da data em que corria foi corrigido (sem mudanças no código da aplicação).</t>
        </is>
      </c>
    </row>
    <row r="78" ht="15" customHeight="1" s="31">
      <c r="A78" s="54" t="inlineStr">
        <is>
          <t>• Sprint 4 por planear: a story nova fica a decidir com o docente.</t>
        </is>
      </c>
    </row>
    <row r="79"/>
    <row r="80" ht="15" customHeight="1" s="31">
      <c r="A80" s="53" t="inlineStr">
        <is>
          <t>Replaneamento de 23/10/2026 (decisões do PO, com o protótipo do PR #44)</t>
        </is>
      </c>
    </row>
    <row r="81" ht="15" customHeight="1" s="31">
      <c r="A81" s="54" t="inlineStr">
        <is>
          <t>• O plano de candidatura ao Concurso Nacional de Acesso substitui as opcionais: épico novo E12 com a US33 (condições de acesso), US34 (notas), US35 (nota por curso), US36 (as 6 opções), US37 (assistente com as notas) e US38 (datas do concurso).</t>
        </is>
      </c>
    </row>
    <row r="82" ht="15" customHeight="1" s="31">
      <c r="A82" s="54" t="inlineStr">
        <is>
          <t>• As 22 stories das opcionais passam a Won't (fase 2) e ficam no fim do backlog, para a rastreabilidade.</t>
        </is>
      </c>
    </row>
    <row r="83" ht="15" customHeight="1" s="31">
      <c r="A83" s="54" t="inlineStr">
        <is>
          <t>• US04 reescrita: o catálogo vem da DGES por recolha, em vez de ser importado por CSV na gestão; passa a Must e entra no Sprint 4.</t>
        </is>
      </c>
    </row>
    <row r="84" ht="15" customHeight="1" s="31">
      <c r="A84" s="54" t="inlineStr">
        <is>
          <t>• US39 nova (gestão do catálogo), a partir da sugestão de um colega de editar a base de dados na área de gestão; fica no Backlog (Should).</t>
        </is>
      </c>
    </row>
    <row r="85" ht="15" customHeight="1" s="31">
      <c r="A85" s="54" t="inlineStr">
        <is>
          <t>• Atenção: o Sprint 4 fica com 18 SP planeados, acima da velocidade (10). O código das US33 a US36 foi feito antes do sprint (protótipo), como a US29 e a US30 no Sprint 2. Se o docente achar demais, a US36 é a primeira a sair (é Should).</t>
        </is>
      </c>
    </row>
    <row r="86" ht="15" customHeight="1" s="31">
      <c r="A86" s="54" t="inlineStr">
        <is>
          <t>• Sem story: o registo pede o nome, terminar sessão volta à página inicial e «As minhas decisões» sai do menu (PR #43 e #44).</t>
        </is>
      </c>
    </row>
    <row r="87" ht="15" customHeight="1" s="31">
      <c r="A87" s="54" t="inlineStr">
        <is>
          <t>• Correção: o Sprint Planning de 22/10 dizia «US17 (3 SP)»; a US17 tem 2 SP (o total de 7 SP da Sprint Review está certo).</t>
        </is>
      </c>
    </row>
    <row r="88" ht="15" customHeight="1" s="31">
      <c r="A88" s="54" t="inlineStr">
        <is>
          <t>• A story do Sprint 4 tem de ser confirmada com o docente.</t>
        </is>
      </c>
    </row>
    <row r="89" ht="15" customHeight="1" s="31">
      <c r="A89" s="54" t="inlineStr">
        <is>
          <t>• (23/10, mais tarde) Stories novas US40 a US43, propostas pelo Claude e aceites pelo PO: quanto preciso no exame, tendência do último colocado, procura do curso e partilhar o plano. Feitas no PR #44.</t>
        </is>
      </c>
    </row>
    <row r="90" ht="15" customHeight="1" s="31">
      <c r="A90" s="54" t="inlineStr">
        <is>
          <t>• Atenção: com elas, o Sprint 4 fica com 27 SP planeados para uma velocidade de 10. Quase todo o código já está feito (protótipo), mas a documentação de cada story (requisitos, use case, BPMN) não. Se o docente achar demais, saem primeiro a US43 (Could) e depois a US36, US40, US41 e US42 (Should).</t>
        </is>
      </c>
    </row>
    <row r="91" ht="15" customHeight="1" s="31">
      <c r="A91" s="54" t="inlineStr">
        <is>
          <t>• Sem story: a gestão passa a ativar contas por confirmar, enquanto o site não envia emails reais (PR #43).</t>
        </is>
      </c>
    </row>
    <row r="92" ht="15" customHeight="1" s="31">
      <c r="A92" s="54" t="inlineStr">
        <is>
          <t>• (23/10, ao fim do dia) Stories novas US44 (que exames me abrem mais portas) e US45 (plano B: 2.ª fase), propostas pelo Claude e escolhidas pelo PO. Feitas no PR #44.</t>
        </is>
      </c>
    </row>
    <row r="93" ht="15" customHeight="1" s="31">
      <c r="A93" s="54" t="inlineStr">
        <is>
          <t>• O Sprint 4 fica com 32 SP planeados para uma velocidade de 10. Isto não é um planeamento realista em Scrum: o código foi feito antes do sprint, como protótipo. No Sprint Planning de 29/10, os PO e o docente decidem que stories entram; as restantes voltam ao Backlog com o código já feito.</t>
        </is>
      </c>
    </row>
    <row r="94" ht="15" customHeight="1" s="31">
      <c r="A94" s="54" t="inlineStr">
        <is>
          <t>• Esclarecimento: o Sprint 4 ainda não começou (29/10 a 05/11). Um sprint fecha na Sprint Review, no fim do tempo marcado; aceitar um PR é o que faz uma story contar como Feita.</t>
        </is>
      </c>
    </row>
    <row r="95"/>
    <row r="96" ht="15" customHeight="1" s="31">
      <c r="A96" s="53" t="inlineStr">
        <is>
          <t>Reestruturação de 27/10/2026 (autorizada pelo docente; decisão do PO)</t>
        </is>
      </c>
    </row>
    <row r="97" ht="15" customHeight="1" s="31">
      <c r="A97" s="54" t="inlineStr">
        <is>
          <t>• O docente autorizou mudar o backlog a fundo, para corresponder a um recomendador de cursos e não de opcionais.</t>
        </is>
      </c>
    </row>
    <row r="98" ht="15" customHeight="1" s="31">
      <c r="A98" s="54" t="inlineStr">
        <is>
          <t>• As 22 stories das opcionais (US06 a US16 e US18 a US28) e a US32 (fundida na US29) saem do Product Backlog para a folha «Arquivo (opcionais)», com o motivo de cada uma. Os IDs não são reutilizados.</t>
        </is>
      </c>
    </row>
    <row r="99" ht="15" customHeight="1" s="31">
      <c r="A99" s="54" t="inlineStr">
        <is>
          <t>• Épicos reorganizados: E1 Conta e privacidade, E2 Catálogo de cursos, E3 Orientação com o assistente, E4 Plano de candidatura. Os épicos antigos ficam no arquivo.</t>
        </is>
      </c>
    </row>
    <row r="100" ht="15" customHeight="1" s="31">
      <c r="A100" s="54" t="inlineStr">
        <is>
          <t>• Sprint 4 reduzido ao essencial: US04 e US33 a US36 (18 SP). As US40 a US45 (14 SP) voltam ao backlog com o código pronto, no estado novo «Protótipo».</t>
        </is>
      </c>
    </row>
    <row r="101" ht="15" customHeight="1" s="31">
      <c r="A101" s="54" t="inlineStr">
        <is>
          <t>• Stories novas no backlog: US46 (exportar os meus dados, a parte do RF17 que saiu da US17) e US47 (recuperar a palavra-passe, a parte do RF02 sem story).</t>
        </is>
      </c>
    </row>
    <row r="102" ht="15" customHeight="1" s="31">
      <c r="A102" s="54" t="inlineStr">
        <is>
          <t>• US04 dividida (decisão do PO): fica o catálogo recolhido da DGES com os 174 cursos já recolhidos; a recolha de todas as licenciaturas passa a ser a US48 (Backlog), porque exige o computador ligado uma noite inteira.</t>
        </is>
      </c>
    </row>
    <row r="103" ht="15" customHeight="1" s="31">
      <c r="A103" s="54" t="inlineStr">
        <is>
          <t>• As notas de cada story passam a dizer só o estado atual; o histórico fica nesta folha.</t>
        </is>
      </c>
    </row>
    <row r="104" ht="15" customHeight="1" s="31">
      <c r="A104" s="54" t="inlineStr">
        <is>
          <t>• Atenção: mesmo assim, o Sprint 4 tem 18 SP para uma velocidade de 10. Só é defensável porque o código foi feito antes, como protótipo. A confirmar com o docente no Sprint Planning de 29/10.</t>
        </is>
      </c>
    </row>
    <row r="105" ht="15" customHeight="1" s="31">
      <c r="A105" s="53" t="inlineStr">
        <is>
          <t>Sprint 4 alargado (27/10/2026, mais tarde; decisão do PO)</t>
        </is>
      </c>
    </row>
    <row r="106" ht="15" customHeight="1" s="31">
      <c r="A106" s="54" t="inlineStr">
        <is>
          <t>• As US40 a US45 voltam ao Sprint 4: são partes importantes do produto e o código já está feito (PR #44). O Sprint 4 passa de 18 para 32 SP.</t>
        </is>
      </c>
    </row>
    <row r="107" ht="15" customHeight="1" s="31">
      <c r="A107" s="54" t="inlineStr">
        <is>
          <t>• Atenção: 32 SP para uma velocidade de 10 não é um planeamento realista de trabalho novo. Só se defende porque o código foi feito antes do sprint, como protótipo: no sprint sobra documentação, testes, revisão e aceitação. Fica escrito no relatório.</t>
        </is>
      </c>
    </row>
    <row r="108" ht="15" customHeight="1" s="31">
      <c r="A108" s="54" t="inlineStr">
        <is>
          <t>• A documentação das US04, US33 a US36 e US40 a US45 está em docs/USNN/ (PR #47), com testes novos para os critérios que não tinham teste.</t>
        </is>
      </c>
    </row>
    <row r="109" ht="15" customHeight="1" s="31">
      <c r="A109" s="53" t="inlineStr">
        <is>
          <t>Aceitação das stories do Sprint 4 (27/10/2026, decisão do PO)</t>
        </is>
      </c>
    </row>
    <row r="110" ht="15" customHeight="1" s="31">
      <c r="A110" s="54" t="inlineStr">
        <is>
          <t>• O PO aceitou as 11 stories do Sprint 4 (US04, US33 a US36, US40 a US45): o código foi feito a 23/10, antes do sprint, e a documentação e os testes em falta a 27/10. Passam a Feito: 32 de 32 SP.</t>
        </is>
      </c>
    </row>
    <row r="111" ht="15" customHeight="1" s="31">
      <c r="A111" s="54" t="inlineStr">
        <is>
          <t>• Antes de aceitar, o Claude verificou as 11 stories com o catálogo real e encontrou dois erros, corrigidos no mesmo dia: os cursos do ensino privado entravam no plano do concurso nacional (US36, US35, US44, US45), e as Matemáticas só ligavam a prova 16 à 19 (US34, US35, US44; correspondência da DGES: a Matemática A dá as provas 16, 17 e 19, a Matemática B a 16 e a 17, o MACS a 17).</t>
        </is>
      </c>
    </row>
    <row r="112" ht="15" customHeight="1" s="31">
      <c r="A112" s="54" t="inlineStr">
        <is>
          <t>• Fica registado que a aceitação aconteceu antes da data de início marcada para o Sprint 4 (29/10) e com a revisão do Simão (PR #48) ainda pendente.</t>
        </is>
      </c>
    </row>
    <row r="113">
      <c r="A113" s="55" t="inlineStr">
        <is>
          <t>Sprint 4 alargado de novo (29/10/2026, decisão do PO)</t>
        </is>
      </c>
    </row>
    <row r="114">
      <c r="A114" s="56" t="inlineStr">
        <is>
          <t>• A 29/10, o Claude fez o código das stories do backlog que ainda não o tinham (US37, US38, US39, US46 e US47), uma por ramo, com testes para cada critério e a documentação em docs/USNN/. O PO testou-as no seu computador e decidiu pô-las no Sprint 4 como «Feito» (PR #50 a #54).</t>
        </is>
      </c>
    </row>
    <row r="115">
      <c r="A115" s="56" t="inlineStr">
        <is>
          <t>• O Sprint 4 passa de 32 para 47 SP, para uma velocidade de 10. Como no resto do sprint, não é um planeamento à velocidade: o código foi feito pela IA num dia e o trabalho da equipa é rever, testar e aceitar. Fica escrito no relatório.</t>
        </is>
      </c>
    </row>
    <row r="116">
      <c r="A116" s="56" t="inlineStr">
        <is>
          <t>• A revisão do Simão está pendente nos cinco PR. A US48 (recolha completa) fica no Backlog: exige correr a recolha no computador de um elemento da equipa.</t>
        </is>
      </c>
    </row>
    <row r="117">
      <c r="A117" s="56" t="inlineStr">
        <is>
          <t>• Sem story: envio real de emails por SMTP (configurado no .env), textos antigos das opcionais (PR #55) e o visual calmo, com menos texto à vista e a letra do sistema (PR #56).</t>
        </is>
      </c>
    </row>
  </sheetData>
  <printOptions horizontalCentered="0" verticalCentered="0" headings="0" gridLines="0" gridLinesSet="1"/>
  <pageMargins left="0.4" right="0.4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12" customWidth="1" style="30" min="1" max="1"/>
    <col width="42" customWidth="1" style="30" min="2" max="2"/>
    <col width="11" customWidth="1" style="30" min="3" max="3"/>
    <col width="10" customWidth="1" style="30" min="4" max="4"/>
    <col width="16" customWidth="1" style="30" min="5" max="5"/>
  </cols>
  <sheetData>
    <row r="1" ht="17.25" customHeight="1" s="31">
      <c r="A1" s="32" t="inlineStr">
        <is>
          <t>Resumo por prioridade (MoSCoW)</t>
        </is>
      </c>
    </row>
    <row r="4" ht="14.25" customHeight="1" s="31">
      <c r="A4" s="34" t="inlineStr">
        <is>
          <t>Prioridade</t>
        </is>
      </c>
      <c r="B4" s="34" t="inlineStr">
        <is>
          <t>Significado</t>
        </is>
      </c>
      <c r="C4" s="34" t="inlineStr">
        <is>
          <t>Nº stories</t>
        </is>
      </c>
      <c r="D4" s="34" t="inlineStr">
        <is>
          <t>SP total</t>
        </is>
      </c>
      <c r="E4" s="34" t="inlineStr">
        <is>
          <t>% do total de SP</t>
        </is>
      </c>
    </row>
    <row r="5" ht="14.25" customHeight="1" s="31">
      <c r="A5" s="57" t="inlineStr">
        <is>
          <t>Must</t>
        </is>
      </c>
      <c r="B5" s="36" t="inlineStr">
        <is>
          <t>Obrigatório para o produto fazer sentido</t>
        </is>
      </c>
      <c r="C5" s="35">
        <f>COUNTIF('Product Backlog'!$H$5:$H$29,A5)</f>
        <v/>
      </c>
      <c r="D5" s="35">
        <f>SUMIF('Product Backlog'!$H$5:$H$29,A5,'Product Backlog'!$G$5:$G$29)</f>
        <v/>
      </c>
      <c r="E5" s="45">
        <f>IF(SUM($D$5:$D$8)=0,0,D5/SUM($D$5:$D$8))</f>
        <v/>
      </c>
    </row>
    <row r="6" ht="14.25" customHeight="1" s="31">
      <c r="A6" s="43" t="inlineStr">
        <is>
          <t>Should</t>
        </is>
      </c>
      <c r="B6" s="36" t="inlineStr">
        <is>
          <t>Importante, mas o produto funciona sem</t>
        </is>
      </c>
      <c r="C6" s="35">
        <f>COUNTIF('Product Backlog'!$H$5:$H$29,A6)</f>
        <v/>
      </c>
      <c r="D6" s="35">
        <f>SUMIF('Product Backlog'!$H$5:$H$29,A6,'Product Backlog'!$G$5:$G$29)</f>
        <v/>
      </c>
      <c r="E6" s="45">
        <f>IF(SUM($D$5:$D$8)=0,0,D6/SUM($D$5:$D$8))</f>
        <v/>
      </c>
    </row>
    <row r="7" ht="14.25" customHeight="1" s="31">
      <c r="A7" s="47" t="inlineStr">
        <is>
          <t>Could</t>
        </is>
      </c>
      <c r="B7" s="36" t="inlineStr">
        <is>
          <t>Desejável se houver folga</t>
        </is>
      </c>
      <c r="C7" s="35">
        <f>COUNTIF('Product Backlog'!$H$5:$H$29,A7)</f>
        <v/>
      </c>
      <c r="D7" s="35">
        <f>SUMIF('Product Backlog'!$H$5:$H$29,A7,'Product Backlog'!$G$5:$G$29)</f>
        <v/>
      </c>
      <c r="E7" s="45">
        <f>IF(SUM($D$5:$D$8)=0,0,D7/SUM($D$5:$D$8))</f>
        <v/>
      </c>
    </row>
    <row r="8" ht="14.25" customHeight="1" s="31">
      <c r="A8" s="58" t="inlineStr">
        <is>
          <t>Won't</t>
        </is>
      </c>
      <c r="B8" s="36" t="inlineStr">
        <is>
          <t>Fora desta release</t>
        </is>
      </c>
      <c r="C8" s="35">
        <f>COUNTIF('Product Backlog'!$H$5:$H$29,A8)</f>
        <v/>
      </c>
      <c r="D8" s="35">
        <f>SUMIF('Product Backlog'!$H$5:$H$29,A8,'Product Backlog'!$G$5:$G$29)</f>
        <v/>
      </c>
      <c r="E8" s="45">
        <f>IF(SUM($D$5:$D$8)=0,0,D8/SUM($D$5:$D$8))</f>
        <v/>
      </c>
    </row>
    <row r="9" ht="14.25" customHeight="1" s="31">
      <c r="A9" s="39" t="inlineStr">
        <is>
          <t>Total</t>
        </is>
      </c>
      <c r="C9" s="59">
        <f>SUM(C5:C8)</f>
        <v/>
      </c>
      <c r="D9" s="59">
        <f>SUM(D5:D8)</f>
        <v/>
      </c>
    </row>
    <row r="11" ht="102.2" customHeight="1" s="31">
      <c r="A11" s="60" t="inlineStr">
        <is>
          <t>Nota (27/10): Won't fica a 0 porque as stories das opcionais (90 SP) saíram para a folha «Arquivo (opcionais)».</t>
        </is>
      </c>
    </row>
  </sheetData>
  <printOptions horizontalCentered="0" verticalCentered="0" headings="0" gridLines="0" gridLinesSet="1"/>
  <pageMargins left="0.4" right="0.4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0" min="1" max="1"/>
    <col width="9" customWidth="1" style="30" min="2" max="2"/>
    <col width="26" customWidth="1" style="30" min="3" max="3"/>
    <col width="46" customWidth="1" style="30" min="4" max="4"/>
    <col width="50" customWidth="1" style="30" min="5" max="5"/>
    <col width="6" customWidth="1" style="30" min="6" max="6"/>
    <col width="10" customWidth="1" style="30" min="7" max="7"/>
    <col width="44" customWidth="1" style="30" min="8" max="8"/>
  </cols>
  <sheetData>
    <row r="1" ht="17.35" customHeight="1" s="31">
      <c r="A1" s="32" t="inlineStr">
        <is>
          <t>Arquivo — stories das opcionais (fora do produto)</t>
        </is>
      </c>
    </row>
    <row r="2" ht="91.5" customHeight="1" s="31">
      <c r="A2" s="40" t="inlineStr">
        <is>
          <t>Até 23/10/2026 o OptaBem era também um recomendador de UCs opcionais. A 27/10, com autorização do docente, estas stories saíram do Product Backlog. Porquê: (1) o OptaBem serve quem ainda está a escolher curso, e essa pessoa não tem opcionais para escolher; (2) no ensino superior português as opcionais pesam pouco no percurso, e a decisão com consequências é a candidatura (épico E4); (3) recomendar opcionais exige avaliações de muitos alunos do mesmo curso, que um protótipo da equipa nunca teria (RN04 e RN05 deixariam quase tudo vazio); (4) não cabiam na velocidade real (10 SP por sprint). Ficam aqui para a rastreabilidade; os IDs não são reutilizados.</t>
        </is>
      </c>
    </row>
    <row r="4" ht="35.05" customHeight="1" s="31">
      <c r="A4" s="34" t="inlineStr">
        <is>
          <t>ID</t>
        </is>
      </c>
      <c r="B4" s="34" t="inlineStr">
        <is>
          <t>Épico antigo</t>
        </is>
      </c>
      <c r="C4" s="34" t="inlineStr">
        <is>
          <t>Título</t>
        </is>
      </c>
      <c r="D4" s="34" t="inlineStr">
        <is>
          <t>User story</t>
        </is>
      </c>
      <c r="E4" s="34" t="inlineStr">
        <is>
          <t>Critérios de aceitação</t>
        </is>
      </c>
      <c r="F4" s="34" t="inlineStr">
        <is>
          <t>SP</t>
        </is>
      </c>
      <c r="G4" s="34" t="inlineStr">
        <is>
          <t>ID anterior</t>
        </is>
      </c>
      <c r="H4" s="34" t="inlineStr">
        <is>
          <t>Porque fica fora</t>
        </is>
      </c>
    </row>
    <row r="5" ht="75" customHeight="1" s="31">
      <c r="A5" s="36" t="inlineStr">
        <is>
          <t>US06</t>
        </is>
      </c>
      <c r="B5" s="36" t="inlineStr">
        <is>
          <t>E3</t>
        </is>
      </c>
      <c r="C5" s="36" t="inlineStr">
        <is>
          <t>Registar percurso</t>
        </is>
      </c>
      <c r="D5" s="36" t="inlineStr">
        <is>
          <t>Como aluno, quero indicar as UCs do meu curso que já concluí e em que ano letivo, para que o sistema conheça o meu percurso.</t>
        </is>
      </c>
      <c r="E5" s="36" t="inlineStr">
        <is>
          <t>• O administrador importa as UCs de cada curso por CSV (código, nome, ano, semestre, ECTS, tipo, descrição).
• O aluno seleciona UCs do catálogo do seu curso.
• Não permite duplicados no mesmo ano letivo.
• O aluno pode remover um registo.</t>
        </is>
      </c>
      <c r="F5" s="36" t="n">
        <v>5</v>
      </c>
      <c r="G5" s="36" t="inlineStr">
        <is>
          <t>US05</t>
        </is>
      </c>
      <c r="H5" s="36" t="inlineStr">
        <is>
          <t>Pressupõe um aluno já inscrito num curso; o público do OptaBem ainda está a escolher curso.</t>
        </is>
      </c>
    </row>
    <row r="6" ht="75" customHeight="1" s="31">
      <c r="A6" s="36" t="inlineStr">
        <is>
          <t>US07</t>
        </is>
      </c>
      <c r="B6" s="36" t="inlineStr">
        <is>
          <t>E3</t>
        </is>
      </c>
      <c r="C6" s="36" t="inlineStr">
        <is>
          <t>Avaliar opcional concluída</t>
        </is>
      </c>
      <c r="D6" s="36" t="inlineStr">
        <is>
          <t>Como aluno, quero avaliar uma opcional que fiz em interesse, carga e dificuldade (1–5), para ajudar colegas que vão escolher a seguir.</t>
        </is>
      </c>
      <c r="E6" s="36" t="inlineStr">
        <is>
          <t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      </is>
      </c>
      <c r="F6" s="36" t="n">
        <v>5</v>
      </c>
      <c r="G6" s="36" t="inlineStr">
        <is>
          <t>US06</t>
        </is>
      </c>
      <c r="H6" s="36" t="inlineStr">
        <is>
          <t>Base das recomendações colaborativas; sem alunos reais do mesmo curso não há dados.</t>
        </is>
      </c>
    </row>
    <row r="7" ht="75" customHeight="1" s="31">
      <c r="A7" s="36" t="inlineStr">
        <is>
          <t>US09</t>
        </is>
      </c>
      <c r="B7" s="36" t="inlineStr">
        <is>
          <t>E4</t>
        </is>
      </c>
      <c r="C7" s="36" t="inlineStr">
        <is>
          <t>Avaliações pseudonimizadas</t>
        </is>
      </c>
      <c r="D7" s="36" t="inlineStr">
        <is>
          <t>Como aluno, quero que as minhas avaliações não fiquem associadas à minha identidade em nenhum ecrã, para poder avaliar com honestidade.</t>
        </is>
      </c>
      <c r="E7" s="36" t="inlineStr">
        <is>
          <t>• Avaliações ligadas ao pseudo_id e não ao email.
• Nenhuma página ou exportação de administrador mostra avaliações por aluno.
• Regra RN04 aplicada em todos os agregados.
• Teste automático que verifica RN04.</t>
        </is>
      </c>
      <c r="F7" s="36" t="n">
        <v>5</v>
      </c>
      <c r="G7" s="36" t="inlineStr">
        <is>
          <t>US09</t>
        </is>
      </c>
      <c r="H7" s="36" t="inlineStr">
        <is>
          <t>Só faz sentido se houver avaliações de UCs (US07).</t>
        </is>
      </c>
    </row>
    <row r="8" ht="75" customHeight="1" s="31">
      <c r="A8" s="36" t="inlineStr">
        <is>
          <t>US11</t>
        </is>
      </c>
      <c r="B8" s="36" t="inlineStr">
        <is>
          <t>E5</t>
        </is>
      </c>
      <c r="C8" s="36" t="inlineStr">
        <is>
          <t>Recomendações de popularidade</t>
        </is>
      </c>
      <c r="D8" s="36" t="inlineStr">
        <is>
          <t>Como aluno com poucas avaliações, quero ver as opcionais mais bem avaliadas pelos colegas, para ter sugestões mesmo sem historial.</t>
        </is>
      </c>
      <c r="E8" s="36" t="inlineStr">
        <is>
          <t>• Aparece quando o aluno não cumpre RN05.
• A interface indica que são "populares" e não personalizadas.
• Nunca inclui UCs que o aluno já concluiu (RN03).
• Implementada como estratégia intercambiável (padrão Strategy, docs/geral/03).</t>
        </is>
      </c>
      <c r="F8" s="36" t="n">
        <v>3</v>
      </c>
      <c r="G8" s="36" t="inlineStr">
        <is>
          <t>US11</t>
        </is>
      </c>
      <c r="H8" s="36" t="inlineStr">
        <is>
          <t>Precisa de avaliações. O equivalente para cursos é a conversa com o assistente (US29 e US30).</t>
        </is>
      </c>
    </row>
    <row r="9" ht="75" customHeight="1" s="31">
      <c r="A9" s="36" t="inlineStr">
        <is>
          <t>US08</t>
        </is>
      </c>
      <c r="B9" s="36" t="inlineStr">
        <is>
          <t>E3</t>
        </is>
      </c>
      <c r="C9" s="36" t="inlineStr">
        <is>
          <t>Avaliação rápida de obrigatórias</t>
        </is>
      </c>
      <c r="D9" s="36" t="inlineStr">
        <is>
          <t>Como aluno, quero avaliar rapidamente o interesse das obrigatórias que fiz numa só página, para que o sistema me conheça mesmo antes de eu ter feito opcionais.</t>
        </is>
      </c>
      <c r="E9" s="36" t="inlineStr">
        <is>
          <t>• Vista em grelha com todas as obrigatórias do percurso.
• Gravação de todas de uma vez.
• Avaliar 10 UCs demora menos de 2 minutos.</t>
        </is>
      </c>
      <c r="F9" s="36" t="n">
        <v>3</v>
      </c>
      <c r="G9" s="36" t="inlineStr">
        <is>
          <t>US07</t>
        </is>
      </c>
      <c r="H9" s="36" t="inlineStr">
        <is>
          <t>Só servia para alimentar o motor de recomendação de opcionais.</t>
        </is>
      </c>
    </row>
    <row r="10" ht="75" customHeight="1" s="31">
      <c r="A10" s="36" t="inlineStr">
        <is>
          <t>US10</t>
        </is>
      </c>
      <c r="B10" s="36" t="inlineStr">
        <is>
          <t>E9</t>
        </is>
      </c>
      <c r="C10" s="36" t="inlineStr">
        <is>
          <t>Dataset sintético</t>
        </is>
      </c>
      <c r="D10" s="36" t="inlineStr">
        <is>
          <t>Como equipa de desenvolvimento, queremos gerar um dataset sintético com perfis de aluno genéricos, para testar o motor antes de haver dados reais.</t>
        </is>
      </c>
      <c r="E10" s="36" t="inlineStr">
        <is>
          <t>• Parâmetros configuráveis (nº alunos, nº UCs, % de esparsidade, perfis).
• O motor recomenda UCs do perfil "plantado" na maioria dos casos.</t>
        </is>
      </c>
      <c r="F10" s="36" t="n">
        <v>5</v>
      </c>
      <c r="G10" s="36" t="inlineStr">
        <is>
          <t>US20</t>
        </is>
      </c>
      <c r="H10" s="36" t="inlineStr">
        <is>
          <t>Servia para testar o motor de recomendação de opcionais.</t>
        </is>
      </c>
    </row>
    <row r="11" ht="75" customHeight="1" s="31">
      <c r="A11" s="36" t="inlineStr">
        <is>
          <t>US12</t>
        </is>
      </c>
      <c r="B11" s="36" t="inlineStr">
        <is>
          <t>E5</t>
        </is>
      </c>
      <c r="C11" s="36" t="inlineStr">
        <is>
          <t>Recomendações user-based</t>
        </is>
      </c>
      <c r="D11" s="36" t="inlineStr">
        <is>
          <t>Como aluno, quero receber uma lista das opcionais recomendadas com base em alunos com gostos parecidos com os meus, para escolher com mais confiança.</t>
        </is>
      </c>
      <c r="E11" s="36" t="inlineStr">
        <is>
          <t>• Top-5 por omissão, com nota prevista.
• Similaridade calculada só sobre UCs comuns
• Testes unitários com uma matriz pequena de resultado conhecido.
• Tempo de resposta &lt; 2 s (RNF03).</t>
        </is>
      </c>
      <c r="F11" s="36" t="n">
        <v>8</v>
      </c>
      <c r="G11" s="36" t="inlineStr">
        <is>
          <t>US12</t>
        </is>
      </c>
      <c r="H11" s="36" t="inlineStr">
        <is>
          <t>Precisa de muitos alunos com avaliações em comum (RN05); inviável numa demonstração.</t>
        </is>
      </c>
    </row>
    <row r="12" ht="75" customHeight="1" s="31">
      <c r="A12" s="36" t="inlineStr">
        <is>
          <t>US13</t>
        </is>
      </c>
      <c r="B12" s="36" t="inlineStr">
        <is>
          <t>E7</t>
        </is>
      </c>
      <c r="C12" s="36" t="inlineStr">
        <is>
          <t>Excluir UCs inválidas</t>
        </is>
      </c>
      <c r="D12" s="36" t="inlineStr">
        <is>
          <t>Como aluno, quero que não me sejam recomendadas UCs que já fiz ou que não são do meu curso/ano, para que a lista seja útil.</t>
        </is>
      </c>
      <c r="E12" s="36" t="inlineStr">
        <is>
          <t>• Aplica RN03 e as restrições de curso/ano.
• Teste automático cobre os três casos.</t>
        </is>
      </c>
      <c r="F12" s="36" t="n">
        <v>2</v>
      </c>
      <c r="G12" s="36" t="inlineStr">
        <is>
          <t>US15</t>
        </is>
      </c>
      <c r="H12" s="36" t="inlineStr">
        <is>
          <t>Regra do motor de opcionais.</t>
        </is>
      </c>
    </row>
    <row r="13" ht="75" customHeight="1" s="31">
      <c r="A13" s="36" t="inlineStr">
        <is>
          <t>US14</t>
        </is>
      </c>
      <c r="B13" s="36" t="inlineStr">
        <is>
          <t>E8</t>
        </is>
      </c>
      <c r="C13" s="36" t="inlineStr">
        <is>
          <t>Explicação da recomendação</t>
        </is>
      </c>
      <c r="D13" s="36" t="inlineStr">
        <is>
          <t>Como aluno, quero perceber porque me foi recomendada cada opcional, para confiar (ou não) na sugestão.</t>
        </is>
      </c>
      <c r="E13" s="36" t="inlineStr">
        <is>
          <t>• Cada item mostra o nº de colegas semelhantes e a média de interesse deles.
• Mostra carga e dificuldade médias (se RN04 o permitir).
• A explicação não revela identidades.</t>
        </is>
      </c>
      <c r="F13" s="36" t="n">
        <v>5</v>
      </c>
      <c r="G13" s="36" t="inlineStr">
        <is>
          <t>US13</t>
        </is>
      </c>
      <c r="H13" s="36" t="inlineStr">
        <is>
          <t>A explicação das sugestões de curso já existe (US30).</t>
        </is>
      </c>
    </row>
    <row r="14" ht="75" customHeight="1" s="31">
      <c r="A14" s="36" t="inlineStr">
        <is>
          <t>US15</t>
        </is>
      </c>
      <c r="B14" s="36" t="inlineStr">
        <is>
          <t>E9</t>
        </is>
      </c>
      <c r="C14" s="36" t="inlineStr">
        <is>
          <t>Avaliação offline do motor</t>
        </is>
      </c>
      <c r="D14" s="36" t="inlineStr">
        <is>
          <t>Como equipa de desenvolvimento, queremos medir a qualidade das recomendações escondendo avaliações reais, para demonstrar que o motor é melhor do que o baseline.</t>
        </is>
      </c>
      <c r="E14" s="36" t="inlineStr">
        <is>
          <t>• Divisão treino/teste reprodutível.
• RMSE, MAE, Precision@5 e cobertura calculados.
• Resultados guardados e comparáveis entre estratégias.</t>
        </is>
      </c>
      <c r="F14" s="36" t="n">
        <v>5</v>
      </c>
      <c r="G14" s="36" t="inlineStr">
        <is>
          <t>US21</t>
        </is>
      </c>
      <c r="H14" s="36" t="inlineStr">
        <is>
          <t>Mede um motor de recomendação que não existe.</t>
        </is>
      </c>
    </row>
    <row r="15" ht="75" customHeight="1" s="31">
      <c r="A15" s="36" t="inlineStr">
        <is>
          <t>US16</t>
        </is>
      </c>
      <c r="B15" s="36" t="inlineStr">
        <is>
          <t>E10</t>
        </is>
      </c>
      <c r="C15" s="36" t="inlineStr">
        <is>
          <t>Períodos de avaliação</t>
        </is>
      </c>
      <c r="D15" s="36" t="inlineStr">
        <is>
          <t>Como administrador, quero abrir e fechar o período de avaliações de cada semestre, para que as avaliações sejam feitas depois de as UCs terminarem.</t>
        </is>
      </c>
      <c r="E15" s="36" t="inlineStr">
        <is>
          <t>• Definição de datas de abertura e fecho por semestre.
• Fora do período, o formulário de avaliação fica bloqueado com mensagem explicativa.</t>
        </is>
      </c>
      <c r="F15" s="36" t="n">
        <v>3</v>
      </c>
      <c r="G15" s="36" t="inlineStr">
        <is>
          <t>US24</t>
        </is>
      </c>
      <c r="H15" s="36" t="inlineStr">
        <is>
          <t>Depende das avaliações de UCs.</t>
        </is>
      </c>
    </row>
    <row r="16" ht="75" customHeight="1" s="31">
      <c r="A16" s="36" t="inlineStr">
        <is>
          <t>US18</t>
        </is>
      </c>
      <c r="B16" s="36" t="inlineStr">
        <is>
          <t>E3</t>
        </is>
      </c>
      <c r="C16" s="36" t="inlineStr">
        <is>
          <t>Comentário livre</t>
        </is>
      </c>
      <c r="D16" s="36" t="inlineStr">
        <is>
          <t>Como aluno, quero deixar um comentário opcional numa avaliação, para partilhar informação que os números não mostram.</t>
        </is>
      </c>
      <c r="E16" s="36" t="inlineStr">
        <is>
          <t>• Máximo de 500 caracteres.
• O comentário aparece sem autor.
• Só é visível quando a UC tem ≥ 5 avaliações.
• Aviso para não incluir nomes de pessoas.</t>
        </is>
      </c>
      <c r="F16" s="36" t="n">
        <v>3</v>
      </c>
      <c r="G16" s="36" t="inlineStr">
        <is>
          <t>US08</t>
        </is>
      </c>
      <c r="H16" s="36" t="inlineStr">
        <is>
          <t>Depende das avaliações de UCs.</t>
        </is>
      </c>
    </row>
    <row r="17" ht="75" customHeight="1" s="31">
      <c r="A17" s="36" t="inlineStr">
        <is>
          <t>US19</t>
        </is>
      </c>
      <c r="B17" s="36" t="inlineStr">
        <is>
          <t>E10</t>
        </is>
      </c>
      <c r="C17" s="36" t="inlineStr">
        <is>
          <t>Moderar comentários</t>
        </is>
      </c>
      <c r="D17" s="36" t="inlineStr">
        <is>
          <t>Como administrador, quero ocultar comentários inapropriados, para manter a plataforma útil e respeitosa.</t>
        </is>
      </c>
      <c r="E17" s="36" t="inlineStr">
        <is>
          <t>• Lista de comentários sem autor.
• Ocultar e repor comentários.
• Os alunos podem sinalizar comentários.</t>
        </is>
      </c>
      <c r="F17" s="36" t="n">
        <v>3</v>
      </c>
      <c r="G17" s="36" t="inlineStr">
        <is>
          <t>US25</t>
        </is>
      </c>
      <c r="H17" s="36" t="inlineStr">
        <is>
          <t>Depende dos comentários (US18).</t>
        </is>
      </c>
    </row>
    <row r="18" ht="75" customHeight="1" s="31">
      <c r="A18" s="36" t="inlineStr">
        <is>
          <t>US20</t>
        </is>
      </c>
      <c r="B18" s="36" t="inlineStr">
        <is>
          <t>E7</t>
        </is>
      </c>
      <c r="C18" s="36" t="inlineStr">
        <is>
          <t>Filtrar por semestre e ECTS</t>
        </is>
      </c>
      <c r="D18" s="36" t="inlineStr">
        <is>
          <t>Como aluno, quero filtrar as recomendações por semestre e ECTS, para ver só o que se aplica à minha escolha atual.</t>
        </is>
      </c>
      <c r="E18" s="36" t="inlineStr">
        <is>
          <t>• Filtros combináveis.
• A lista atualiza sem perder a ordenação da recomendação.</t>
        </is>
      </c>
      <c r="F18" s="36" t="n">
        <v>2</v>
      </c>
      <c r="G18" s="36" t="inlineStr">
        <is>
          <t>US16</t>
        </is>
      </c>
      <c r="H18" s="36" t="inlineStr">
        <is>
          <t>Filtro das recomendações de opcionais; os cursos têm filtros próprios (US05).</t>
        </is>
      </c>
    </row>
    <row r="19" ht="75" customHeight="1" s="31">
      <c r="A19" s="36" t="inlineStr">
        <is>
          <t>US21</t>
        </is>
      </c>
      <c r="B19" s="36" t="inlineStr">
        <is>
          <t>E7</t>
        </is>
      </c>
      <c r="C19" s="36" t="inlineStr">
        <is>
          <t>Preferência de carga de trabalho</t>
        </is>
      </c>
      <c r="D19" s="36" t="inlineStr">
        <is>
          <t>Como aluno, quero indicar se prefiro uma opcional leve ou exigente, para que as recomendações se ajustem ao meu semestre.</t>
        </is>
      </c>
      <c r="E19" s="36" t="inlineStr">
        <is>
          <t>• Três opções (leve / indiferente / exigente).
• A ordenação muda de forma visível.
• "Indiferente" mantém a ordenação original.</t>
        </is>
      </c>
      <c r="F19" s="36" t="n">
        <v>5</v>
      </c>
      <c r="G19" s="36" t="inlineStr">
        <is>
          <t>US14</t>
        </is>
      </c>
      <c r="H19" s="36" t="inlineStr">
        <is>
          <t>Ajuste do motor de opcionais.</t>
        </is>
      </c>
    </row>
    <row r="20" ht="75" customHeight="1" s="31">
      <c r="A20" s="36" t="inlineStr">
        <is>
          <t>US22</t>
        </is>
      </c>
      <c r="B20" s="36" t="inlineStr">
        <is>
          <t>E6</t>
        </is>
      </c>
      <c r="C20" s="36" t="inlineStr">
        <is>
          <t>Comparação de estratégias</t>
        </is>
      </c>
      <c r="D20" s="36" t="inlineStr">
        <is>
          <t>Como administrador, quero ver uma tabela comparativa das métricas de cada estratégia e escolher qual está ativa, para usar a melhor.</t>
        </is>
      </c>
      <c r="E20" s="36" t="inlineStr">
        <is>
          <t>• Tabela baseline vs. user-based vs. SVD.
• A estratégia ativa muda sem reiniciar a aplicação.</t>
        </is>
      </c>
      <c r="F20" s="36" t="n">
        <v>3</v>
      </c>
      <c r="G20" s="36" t="inlineStr">
        <is>
          <t>US23</t>
        </is>
      </c>
      <c r="H20" s="36" t="inlineStr">
        <is>
          <t>Depende de várias estratégias do motor, incluindo o SVD, que já estava fora do plano.</t>
        </is>
      </c>
    </row>
    <row r="21" ht="75" customHeight="1" s="31">
      <c r="A21" s="36" t="inlineStr">
        <is>
          <t>US23</t>
        </is>
      </c>
      <c r="B21" s="36" t="inlineStr">
        <is>
          <t>E7</t>
        </is>
      </c>
      <c r="C21" s="36" t="inlineStr">
        <is>
          <t>Esconder UCs sem vagas</t>
        </is>
      </c>
      <c r="D21" s="36" t="inlineStr">
        <is>
          <t>Como aluno, quero ver apenas opcionais com vagas, para não perder tempo com UCs já cheias.</t>
        </is>
      </c>
      <c r="E21" s="36" t="inlineStr">
        <is>
          <t>• O administrador atualiza vagas (manual ou CSV).
• UCs com 0 vagas não aparecem, com opção "mostrar todas".</t>
        </is>
      </c>
      <c r="F21" s="36" t="n">
        <v>3</v>
      </c>
      <c r="G21" s="36" t="inlineStr">
        <is>
          <t>US17</t>
        </is>
      </c>
      <c r="H21" s="36" t="inlineStr">
        <is>
          <t>As vagas das UCs mudam a cada semestre e não há fonte pública.</t>
        </is>
      </c>
    </row>
    <row r="22" ht="75" customHeight="1" s="31">
      <c r="A22" s="36" t="inlineStr">
        <is>
          <t>US24</t>
        </is>
      </c>
      <c r="B22" s="36" t="inlineStr">
        <is>
          <t>E8</t>
        </is>
      </c>
      <c r="C22" s="36" t="inlineStr">
        <is>
          <t>Feedback sobre recomendações</t>
        </is>
      </c>
      <c r="D22" s="36" t="inlineStr">
        <is>
          <t>Como aluno, quero marcar uma recomendação como útil, não útil ou ocultá-la, para que a lista reflita o que me interessa.</t>
        </is>
      </c>
      <c r="E22" s="36" t="inlineStr">
        <is>
          <t>• UCs ocultas deixam de aparecer.
• O feedback fica registado para análise.</t>
        </is>
      </c>
      <c r="F22" s="36" t="n">
        <v>3</v>
      </c>
      <c r="G22" s="36" t="inlineStr">
        <is>
          <t>US19</t>
        </is>
      </c>
      <c r="H22" s="36" t="inlineStr">
        <is>
          <t>Feedback sobre recomendações de opcionais.</t>
        </is>
      </c>
    </row>
    <row r="23" ht="75" customHeight="1" s="31">
      <c r="A23" s="36" t="inlineStr">
        <is>
          <t>US25</t>
        </is>
      </c>
      <c r="B23" s="36" t="inlineStr">
        <is>
          <t>E10</t>
        </is>
      </c>
      <c r="C23" s="36" t="inlineStr">
        <is>
          <t>Painel de participação</t>
        </is>
      </c>
      <c r="D23" s="36" t="inlineStr">
        <is>
          <t>Como administrador, quero ver quantos alunos avaliaram e quão esparsa está a matriz, para saber se o motor tem dados suficientes.</t>
        </is>
      </c>
      <c r="E23" s="36" t="inlineStr">
        <is>
          <t>• Mostra nº de alunos, nº de avaliações e % de células preenchidas.
• Mostra avaliações por UC (sem identificar alunos).</t>
        </is>
      </c>
      <c r="F23" s="36" t="n">
        <v>3</v>
      </c>
      <c r="G23" s="36" t="inlineStr">
        <is>
          <t>US26</t>
        </is>
      </c>
      <c r="H23" s="36" t="inlineStr">
        <is>
          <t>Mede a participação nas avaliações de UCs.</t>
        </is>
      </c>
    </row>
    <row r="24" ht="75" customHeight="1" s="31">
      <c r="A24" s="36" t="inlineStr">
        <is>
          <t>US26</t>
        </is>
      </c>
      <c r="B24" s="36" t="inlineStr">
        <is>
          <t>E6</t>
        </is>
      </c>
      <c r="C24" s="36" t="inlineStr">
        <is>
          <t>Filtragem baseada em itens</t>
        </is>
      </c>
      <c r="D24" s="36" t="inlineStr">
        <is>
          <t>Como aluno, quero ver "quem gostou desta UC também gostou de…" na página de cada opcional, para descobrir alternativas semelhantes.</t>
        </is>
      </c>
      <c r="E24" s="36" t="inlineStr">
        <is>
          <t>• Similaridade entre UCs calculada a partir das avaliações.
• Mostra até 3 UCs semelhantes, respeitando RN04.</t>
        </is>
      </c>
      <c r="F24" s="36" t="n">
        <v>5</v>
      </c>
      <c r="G24" s="36" t="inlineStr">
        <is>
          <t>US27</t>
        </is>
      </c>
      <c r="H24" s="36" t="inlineStr">
        <is>
          <t>Precisa de avaliações e não tinha requisito associado.</t>
        </is>
      </c>
    </row>
    <row r="25" ht="75" customHeight="1" s="31">
      <c r="A25" s="36" t="inlineStr">
        <is>
          <t>US27</t>
        </is>
      </c>
      <c r="B25" s="36" t="inlineStr">
        <is>
          <t>E7</t>
        </is>
      </c>
      <c r="C25" s="36" t="inlineStr">
        <is>
          <t>Evitar conflitos de horário</t>
        </is>
      </c>
      <c r="D25" s="36" t="inlineStr">
        <is>
          <t>Como aluno, quero indicar o meu horário para que não me sejam recomendadas opcionais que colidam com ele.</t>
        </is>
      </c>
      <c r="E25" s="36" t="inlineStr">
        <is>
          <t>• O aluno marca blocos ocupados.
• UCs com sobreposição são excluídas.
• O administrador importa horários das UCs.</t>
        </is>
      </c>
      <c r="F25" s="36" t="n">
        <v>8</v>
      </c>
      <c r="G25" s="36" t="inlineStr">
        <is>
          <t>US18</t>
        </is>
      </c>
      <c r="H25" s="36" t="inlineStr">
        <is>
          <t>Os horários das UCs não são públicos de forma uniforme; 8 SP para um caso raro.</t>
        </is>
      </c>
    </row>
    <row r="26" ht="75" customHeight="1" s="31">
      <c r="A26" s="36" t="inlineStr">
        <is>
          <t>US28</t>
        </is>
      </c>
      <c r="B26" s="36" t="inlineStr">
        <is>
          <t>E10</t>
        </is>
      </c>
      <c r="C26" s="36" t="inlineStr">
        <is>
          <t>Lembretes de avaliação</t>
        </is>
      </c>
      <c r="D26" s="36" t="inlineStr">
        <is>
          <t>Como aluno, quero receber um lembrete no fim do semestre para avaliar as UCs que fiz, para não me esquecer de contribuir.</t>
        </is>
      </c>
      <c r="E26" s="36" t="inlineStr">
        <is>
          <t>• Email enviado na abertura do período de avaliação.
• O aluno pode desativar lembretes.</t>
        </is>
      </c>
      <c r="F26" s="36" t="n">
        <v>3</v>
      </c>
      <c r="G26" s="36" t="inlineStr">
        <is>
          <t>US28</t>
        </is>
      </c>
      <c r="H26" s="36" t="inlineStr">
        <is>
          <t>Depende dos períodos de avaliação e não tinha requisito associado.</t>
        </is>
      </c>
    </row>
    <row r="27" ht="75" customHeight="1" s="31">
      <c r="A27" s="36" t="inlineStr">
        <is>
          <t>US32</t>
        </is>
      </c>
      <c r="B27" s="36" t="inlineStr">
        <is>
          <t>E11</t>
        </is>
      </c>
      <c r="C27" s="36" t="inlineStr">
        <is>
          <t>Assistente LLM que conversa com o utilizador</t>
        </is>
      </c>
      <c r="D27" s="36" t="inlineStr">
        <is>
          <t>Como pessoa indecisa, quero conversar com um assistente que me faça perguntas e me ajude a perceber que cursos e opcionais fazem sentido para mim, para decidir com mais confiança.</t>
        </is>
      </c>
      <c r="E27" s="36" t="inlineStr">
        <is>
          <t>• Fundida na US29 a 14/10/2026 (decisão do PO na issue #15): a conversa com o assistente passa a ser a própria orientação. A sugestão de cursos é a US30.</t>
        </is>
      </c>
      <c r="F27" s="36" t="n"/>
      <c r="G27" s="36" t="inlineStr">
        <is>
          <t>nova</t>
        </is>
      </c>
      <c r="H27" s="36" t="inlineStr">
        <is>
          <t>Fundida na US29 a 14/10 (issue #15): a conversa com o assistente passou a ser a própria orientação.</t>
        </is>
      </c>
    </row>
    <row r="28" ht="15" customHeight="1" s="31">
      <c r="E28" s="39" t="inlineStr">
        <is>
          <t>Total de story points arquivados</t>
        </is>
      </c>
      <c r="F28" s="39">
        <f>SUM(F5:F27)</f>
        <v/>
      </c>
    </row>
  </sheetData>
  <autoFilter ref="A4:H27"/>
  <mergeCells count="1">
    <mergeCell ref="A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2026-09-30T14:10:03Z</dcterms:created>
  <dcterms:modified xmlns:dcterms="http://purl.org/dc/terms/" xmlns:xsi="http://www.w3.org/2001/XMLSchema-instance" xsi:type="dcterms:W3CDTF">2026-10-29T16:10:43Z</dcterms:modified>
  <cp:revision>21</cp:revision>
</cp:coreProperties>
</file>