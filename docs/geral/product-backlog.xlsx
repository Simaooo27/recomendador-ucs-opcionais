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<sst xmlns="http://schemas.openxmlformats.org/spreadsheetml/2006/main" count="547" uniqueCount="338">
  <si>
    <t xml:space="preserve">Product Backlog — OptaBem (orientação de curso e candidatura)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</si>
  <si>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 Replaneado a 23/10/2026: o plano de candidatura substitui as opcionais, que passam a Won't (fase 2).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</si>
  <si>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</si>
  <si>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</si>
  <si>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</si>
  <si>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</si>
  <si>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</si>
  <si>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</si>
  <si>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</si>
  <si>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</si>
  <si>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</si>
  <si>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</si>
  <si>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</si>
  <si>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</si>
  <si>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</si>
  <si>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</si>
  <si>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</si>
  <si>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</si>
  <si>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</si>
  <si>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</si>
  <si>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</si>
  <si>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</si>
  <si>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</si>
  <si>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 23/10: o registo pede também o nome, e o OptaBem trata a pessoa por ele (PR #43; RF01.17 e RF01.18).</t>
  </si>
  <si>
    <t xml:space="preserve">US02</t>
  </si>
  <si>
    <t xml:space="preserve">Autenticação</t>
  </si>
  <si>
    <t xml:space="preserve">Como aluno, quero iniciar e terminar sessão, para aceder ao meu percurso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</si>
  <si>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</si>
  <si>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 23/10: texto da story sem «avaliações e recomendações» (eram das opcionais). Terminar sessão passa a voltar à página inicial (PR #43).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</si>
  <si>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</si>
  <si>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</si>
  <si>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</si>
  <si>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</si>
  <si>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</si>
  <si>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</si>
  <si>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</si>
  <si>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</si>
  <si>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</si>
  <si>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</si>
  <si>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</si>
  <si>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</si>
  <si>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 22/10: aceite na Sprint Review do Sprint 2 (percurso completo testado pelos PO com o Gemini real, também noutro computador); fica Feito.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</si>
  <si>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</si>
  <si>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</si>
  <si>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</si>
  <si>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</si>
  <si>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 22/10: aceite na Sprint Review do Sprint 2 (percurso completo testado pelos PO com o Gemini real, também noutro computador); fica Feito.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</si>
  <si>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</si>
  <si>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</si>
  <si>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</si>
  <si>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</si>
  <si>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 22/10: aceite na Sprint Review do Sprint 2 (percurso completo testado pelos PO com o Gemini real, também noutro computador); fica Feito. 23/10: «As minhas decisões» sai do menu (decisão do PO); continua acessível pelo início e por «A minha conta».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</si>
  <si>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</si>
  <si>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</si>
  <si>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</si>
  <si>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</si>
  <si>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</si>
  <si>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</si>
  <si>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 22/10 (Sprint Planning do Sprint 3): entra no Sprint 3 com a US17. 22/10: feita (PR da US05, à espera de revisão): filtros, ficha completa e comparação de até 3 cursos; docs/US05/, issue #12. 23/10: aceite na Sprint Review do Sprint 3 (testada pelos PO); fica Feito.</t>
  </si>
  <si>
    <t xml:space="preserve">US04</t>
  </si>
  <si>
    <t xml:space="preserve">US17</t>
  </si>
  <si>
    <t xml:space="preserve">E4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</si>
  <si>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</si>
  <si>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</si>
  <si>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</si>
  <si>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Replaneamento de 13/10: Sprint 4 → Backlog (nova visão: orientação de curso primeiro). 22/10 (Sprint Planning do Sprint 3): Backlog → Sprint 3, Should → Must. O OptaBem já guarda conversas e decisões de pessoas, por isso exportar e apagar os dados passa a ser essencial (RGPD). 22/10 (decisão do PO): âmbito reduzido ao apagamento da conta; a exportação fica no backlog (RF17). 3 → 2 SP. Feita (PR da US17, à espera de revisão); docs/US17/, issue #34. 23/10: aceite na Sprint Review do Sprint 3 (testada pelos PO); fica Feito.</t>
  </si>
  <si>
    <t xml:space="preserve">US10</t>
  </si>
  <si>
    <t xml:space="preserve">Catálogo completo de licenciaturas (DGES)</t>
  </si>
  <si>
    <t xml:space="preserve">Como pessoa indecisa, quero procurar em todas as licenciaturas do concurso nacional, e não só numa amostra, para não deixar de fora um curso que me sirva.</t>
  </si>
  <si>
    <t xml:space="preserve">• Os cursos vêm das páginas públicas da DGES, por um script que corre no computador da equipa (dados/recolher_dges.py), devagar e retomável.
• O catálogo tem as licenciaturas e mestrados integrados do concurso nacional,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</si>
  <si>
    <t xml:space="preserve">Sprint 4</t>
  </si>
  <si>
    <t xml:space="preserve">Em curso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</si>
  <si>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 22/10: candidata ao Sprint 4 se houver folga. 23/10: reescrita por decisão do PO. Em vez de o administrador importar um CSV, o catálogo vem da DGES por recolha (sugestão de um colega). Ramo feature/US04-catalogo-completo: 174 cursos recolhidos, falta a recolha completa e a documentação. Backlog → Sprint 4, Should → Must; a confirmar com o docente.</t>
  </si>
  <si>
    <t xml:space="preserve">US33</t>
  </si>
  <si>
    <t xml:space="preserve">E12</t>
  </si>
  <si>
    <t xml:space="preserve">Condições de acesso na ficha do curso</t>
  </si>
  <si>
    <t xml:space="preserve">Como pessoa a escolher curso, quero ver na ficha de cada curso as provas de ingresso, a fórmula de cálculo, as classificações mínimas e os pré-requisitos, para saber o que é preciso para entrar.</t>
  </si>
  <si>
    <t xml:space="preserve"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</si>
  <si>
    <t xml:space="preserve">23/10: story nova (decisão do PO: o plano de candidatura substitui as opcionais). Protótipo no PR #44 (rascunho), feito antes do sprint para o PO ver a ideia.</t>
  </si>
  <si>
    <t xml:space="preserve">nova</t>
  </si>
  <si>
    <t xml:space="preserve">US34</t>
  </si>
  <si>
    <t xml:space="preserve">Registar as minhas notas</t>
  </si>
  <si>
    <t xml:space="preserve">Como candidato, quero indicar a minha média do secundário e as notas dos exames nacionais que fiz, para o OptaBem fazer as contas por mim.</t>
  </si>
  <si>
    <t xml:space="preserve">• Média de 9,5 a 20 valores; exames de 0 a 200 pontos (ou de 0 a 20, convertidos).
• Só se preenchem os exames feitos.
• As notas podem ser mudadas e saem com a conta (US17).
• Matemática e Matemática A contam com o mesmo exame (a confirmar pela equipa na DGES).</t>
  </si>
  <si>
    <t xml:space="preserve">23/10: story nova. Protótipo no PR #44 (rascunho), feito antes do sprint para o PO ver a ideia.</t>
  </si>
  <si>
    <t xml:space="preserve">US35</t>
  </si>
  <si>
    <t xml:space="preserve">Nota de candidatura a cada curso</t>
  </si>
  <si>
    <t xml:space="preserve">Como candidato, quero ver a minha nota de candidatura a cada curso e a diferença para o último colocado, para perceber onde tenho hipóteses.</t>
  </si>
  <si>
    <t xml:space="preserve"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</si>
  <si>
    <t xml:space="preserve">23/10: story nova. Protótipo no PR #44 (rascunho), feito antes do sprint para o PO ver a ideia. Contas em funções puras (app/candidatura/calculos.py).</t>
  </si>
  <si>
    <t xml:space="preserve">US36</t>
  </si>
  <si>
    <t xml:space="preserve">Plano das 6 opções de candidatura</t>
  </si>
  <si>
    <t xml:space="preserve">Como candidato, quero montar e ordenar a minha lista de até 6 opções, com avisos, para submeter na DGES uma candidatura equilibrada.</t>
  </si>
  <si>
    <t xml:space="preserve"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</t>
  </si>
  <si>
    <t xml:space="preserve">Should</t>
  </si>
  <si>
    <t xml:space="preserve">23/10: story nova. Protótipo no PR #44 (rascunho), feito antes do sprint para o PO ver a ideia. O OptaBem não submete a candidatura: ajuda a prepará-la.</t>
  </si>
  <si>
    <t xml:space="preserve">US40</t>
  </si>
  <si>
    <t xml:space="preserve">Quanto preciso no exame?</t>
  </si>
  <si>
    <t xml:space="preserve">Como candidato, quero saber que nota preciso nos exames que ainda não fiz para chegar ao último colocado de um curso, para saber quanto tenho de estudar.</t>
  </si>
  <si>
    <t xml:space="preserve"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</si>
  <si>
    <t xml:space="preserve">23/10: story nova (ideia proposta pelo Claude e aceite pelo PO). Feita no PR #44 a pedido do PO, antes do sprint.</t>
  </si>
  <si>
    <t xml:space="preserve">US41</t>
  </si>
  <si>
    <t xml:space="preserve">Tendência do último colocado</t>
  </si>
  <si>
    <t xml:space="preserve">Como candidato, quero ver como a nota do último colocado mudou de 2023 a 2025, para perceber se um curso está a ficar mais difícil de entrar.</t>
  </si>
  <si>
    <t xml:space="preserve">• Notas da 1.ª fase de 2023, 2024 e 2025 (DGES) na ficha do curso.
• Etiqueta «A subir», «A descer» ou «Estável» (3 pontos de margem entre o primeiro e o último ano).
• A etiqueta aparece também em cada opção do plano.</t>
  </si>
  <si>
    <t xml:space="preserve">US42</t>
  </si>
  <si>
    <t xml:space="preserve">Procura do curso</t>
  </si>
  <si>
    <t xml:space="preserve">Como candidato, quero ver quantas pessoas concorreram a um curso e quantas o puseram em 1.ª opção, para perceber o risco da minha escolha.</t>
  </si>
  <si>
    <t xml:space="preserve">• Candidatos, candidatos em 1.ª opção, vagas e colocados da 1.ª fase de 2025 (DGES), na ficha do curso.
• Etiqueta: «Sobraram vagas», «Muito procurado» (1,5 ou mais em 1.ª opção por vaga), «Procurado» (0,75 a 1,5) ou «Pouco escolhido em 1.ª opção».</t>
  </si>
  <si>
    <t xml:space="preserve">US43</t>
  </si>
  <si>
    <t xml:space="preserve">Partilhar o plano</t>
  </si>
  <si>
    <t xml:space="preserve">Como candidato, quero partilhar o meu plano com quem me ajuda a decidir (pais, explicador), com uma ligação só de leitura, para pedir opinião sem dar a minha palavra-passe.</t>
  </si>
  <si>
    <t xml:space="preserve"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</si>
  <si>
    <t xml:space="preserve">Could</t>
  </si>
  <si>
    <t xml:space="preserve">23/10: story nova (ideia proposta pelo Claude e aceite pelo PO). Feita no PR #44 a pedido do PO, antes do sprint. RGPD: a pessoa escolhe partilhar; política de privacidade provisória atualizada.</t>
  </si>
  <si>
    <t xml:space="preserve">US37</t>
  </si>
  <si>
    <t xml:space="preserve">Assistente que conhece as minhas notas</t>
  </si>
  <si>
    <t xml:space="preserve">Como pessoa indecisa, quero que o assistente tenha em conta as provas que fiz e a minha nota, para não me sugerir cursos a que não posso concorrer.</t>
  </si>
  <si>
    <t xml:space="preserve">• Só com autorização da pessoa, o LLM recebe as provas feitas e um intervalo de nota (nunca a média exata, RNF12).
• Cursos a que falta uma prova não são sugeridos, ou vêm assinalados.
• Os testes usam o LLM falso.</t>
  </si>
  <si>
    <t xml:space="preserve">Backlog</t>
  </si>
  <si>
    <t xml:space="preserve">Por fazer</t>
  </si>
  <si>
    <t xml:space="preserve">23/10: story nova. Atenção: os termos do Gemini excluem menores de 18, e muitos candidatos têm 17 anos (protótipo para a equipa, ponto 14 dos requisitos).</t>
  </si>
  <si>
    <t xml:space="preserve">US39</t>
  </si>
  <si>
    <t xml:space="preserve">E10</t>
  </si>
  <si>
    <t xml:space="preserve">Corrigir e esconder cursos do catálogo (gestão)</t>
  </si>
  <si>
    <t xml:space="preserve">Como administrador, quero corrigir a descrição e as saídas profissionais de um curso, ou escondê-lo, para o catálogo não ter erros sem mexer no ficheiro.</t>
  </si>
  <si>
    <t xml:space="preserve">• Só na área de gestão.
• As correções ficam na base de dados, por cima dos dados da DGES (a recolha seguinte não as apaga).
• Fica registado quem alterou e quando.
• Sem acesso aos dados dos alunos.</t>
  </si>
  <si>
    <t xml:space="preserve">23/10: sugestão de um colega («editar a base de dados na área de gestão»), reescrita com uma necessidade concreta. Um editor genérico de tabelas daria aos administradores os dados pessoais dos alunos (RGPD) e seria o ponto mais perigoso do site aberto pelo túnel. Precisa do catálogo na base de dados.</t>
  </si>
  <si>
    <t xml:space="preserve">US38</t>
  </si>
  <si>
    <t xml:space="preserve">Datas do concurso no percurso</t>
  </si>
  <si>
    <t xml:space="preserve">Como candidato, quero ver as datas das fases do concurso nacional, para não falhar prazos.</t>
  </si>
  <si>
    <t xml:space="preserve">• Datas das 3 fases do concurso, com a ligação para a DGES.
• O passo atual do percurso mostra o próximo prazo.</t>
  </si>
  <si>
    <t xml:space="preserve">23/10: story nova.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</si>
  <si>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</si>
  <si>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</si>
  <si>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</si>
  <si>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</si>
  <si>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</si>
  <si>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Won't</t>
  </si>
  <si>
    <t xml:space="preserve">Replaneamento de 07/10: passou de Sprint 1 para Sprint 2. Replaneamento de 13/10: Sprint 2 → Sprint 4; inclui a importação das UCs; 3 → 5 SP. 14/10: mantém-se no Sprint 4. 22/10: Sprint 4 → Backlog, Must → Should. Decisão dos PO: até à entrega de 05/11 o centro são os cursos e as opcionais ficam em segundo plano. 23/10: Should → Won't. Fase 2 (opcionais), fora desta release: o plano de candidatura substitui as opcionais (decisão do PO). Fica para rastreabilidade.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</si>
  <si>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</si>
  <si>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</si>
  <si>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</si>
  <si>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</si>
  <si>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 22/10: Sprint 4 → Backlog, Must → Should. Decisão dos PO: até à entrega de 05/11 o centro são os cursos e as opcionais ficam em segundo plano. 23/10: Should → Won't. Fase 2 (opcionais), fora desta release: o plano de candidatura substitui as opcionais (decisão do PO). Fica para rastreabilidade.</t>
  </si>
  <si>
    <t xml:space="preserve">US09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</si>
  <si>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</si>
  <si>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</si>
  <si>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</si>
  <si>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 23/10: Should → Won't. Fase 2 (opcionais), fora desta release: o plano de candidatura substitui as opcionais (decisão do PO). Fica para rastreabilidade.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</si>
  <si>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</si>
  <si>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</si>
  <si>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</si>
  <si>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</si>
  <si>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</si>
  <si>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 23/10: Should → Won't. Fase 2 (opcionais), fora desta release: o plano de candidatura substitui as opcionais (decisão do PO). Fica para rastreabilidade.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</si>
  <si>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</si>
  <si>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</si>
  <si>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</si>
  <si>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</si>
  <si>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</si>
  <si>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</si>
  <si>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</si>
  <si>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</si>
  <si>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</si>
  <si>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</si>
  <si>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</si>
  <si>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</si>
  <si>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</si>
  <si>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</si>
  <si>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</si>
  <si>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</si>
  <si>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</si>
  <si>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</si>
  <si>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</si>
  <si>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</si>
  <si>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</si>
  <si>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</si>
  <si>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</si>
  <si>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</si>
  <si>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</si>
  <si>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</si>
  <si>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</si>
  <si>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</si>
  <si>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</si>
  <si>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</si>
  <si>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 23/10: Should → Won't. Fase 2 (opcionais), fora desta release: o plano de candidatura substitui as opcionais (decisão do PO). Fica para rastreabilidade.</t>
  </si>
  <si>
    <t xml:space="preserve">US21</t>
  </si>
  <si>
    <t xml:space="preserve">US16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</si>
  <si>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</si>
  <si>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</si>
  <si>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</si>
  <si>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 23/10: Should → Won't. Fase 2 (opcionais), fora desta release: o plano de candidatura substitui as opcionais (decisão do PO). Fica para rastreabilidade.</t>
  </si>
  <si>
    <t xml:space="preserve">US24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</si>
  <si>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</si>
  <si>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</si>
  <si>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</si>
  <si>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</si>
  <si>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</si>
  <si>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</si>
  <si>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</si>
  <si>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</si>
  <si>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Replaneamento de 13/10: Sprint 4 → Backlog (nova visão: orientação de curso primeiro). 23/10: Should → Won't. Fase 2 (opcionais), fora desta release: o plano de candidatura substitui as opcionais (decisão do PO). Fica para rastreabilidade.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</si>
  <si>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</si>
  <si>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</si>
  <si>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</si>
  <si>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</si>
  <si>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</si>
  <si>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</si>
  <si>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</si>
  <si>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 23/10: Should → Won't. Fase 2 (opcionais), fora desta release: o plano de candidatura substitui as opcionais (decisão do PO). Fica para rastreabilidade.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</si>
  <si>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</si>
  <si>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</si>
  <si>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</si>
  <si>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</si>
  <si>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</si>
  <si>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 23/10: Should → Won't. Fase 2 (opcionais), fora desta release: o plano de candidatura substitui as opcionais (decisão do PO). Fica para rastreabilidade.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</si>
  <si>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</si>
  <si>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</si>
  <si>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</si>
  <si>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</si>
  <si>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Entra no Sprint 4 se houver folga de velocidade. 23/10: Could → Won't. Fase 2 (opcionais), fora desta release: o plano de candidatura substitui as opcionais (decisão do PO). Fica para rastreabilidade.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</si>
  <si>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</si>
  <si>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</si>
  <si>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</si>
  <si>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23/10: Could → Won't. Fase 2 (opcionais), fora desta release: o plano de candidatura substitui as opcionais (decisão do PO). Fica para rastreabilidade.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</si>
  <si>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</si>
  <si>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</si>
  <si>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</si>
  <si>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</si>
  <si>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</si>
  <si>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</si>
  <si>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</si>
  <si>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</si>
  <si>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</si>
  <si>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</si>
  <si>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</si>
  <si>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</si>
  <si>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</si>
  <si>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</si>
  <si>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</si>
  <si>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23/10: Won't → Won't. Fase 2 (opcionais), fora desta release: o plano de candidatura substitui as opcionais (decisão do PO). Fica para rastreabilidade.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</si>
  <si>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</si>
  <si>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</si>
  <si>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</si>
  <si>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</si>
  <si>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</si>
  <si>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</si>
  <si>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</si>
  <si>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</si>
  <si>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Épicos novos: E11 Orientação de curso (13/10) e E12 Candidatura (23/10). As stories das opcionais (Won't) ficam no fim, como fase 2.</t>
  </si>
  <si>
    <t xml:space="preserve">Plano de sprints — OptaBem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</si>
  <si>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</si>
  <si>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</si>
  <si>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</si>
  <si>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</si>
  <si>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</si>
  <si>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</si>
  <si>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</si>
  <si>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</si>
  <si>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</si>
  <si>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</si>
  <si>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</si>
  <si>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</si>
  <si>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</si>
  <si>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29/10; concluído a 23/10).</t>
  </si>
  <si>
    <t xml:space="preserve">US05, US17</t>
  </si>
  <si>
    <t xml:space="preserve">Quem escolheu um curso prepara a candidatura: vê as condições de acesso, a tendência e a procura de cada curso, calcula a sua nota e quanto precisa nos exames, ordena as 6 opções e pode partilhar o plano; o catálogo passa a ter as licenciaturas da DGES (29/10 a 05/11; a confirmar com o docente).</t>
  </si>
  <si>
    <t xml:space="preserve">US04, US33–US36, US40–US43</t>
  </si>
  <si>
    <t xml:space="preserve">Fora desta release (entrega a 05/11). As stories das opcionais passam a Won't (fase 2) a 23/10: o plano de candidatura substitui-as.</t>
  </si>
  <si>
    <t xml:space="preserve">US37–US39, US06–US16, US18–US28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</si>
  <si>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</si>
  <si>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</si>
  <si>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</si>
  <si>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</si>
  <si>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</si>
  <si>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</si>
  <si>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</si>
  <si>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</si>
  <si>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</si>
  <si>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</si>
  <si>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</si>
  <si>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</si>
  <si>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</si>
  <si>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</si>
  <si>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</si>
  <si>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</si>
  <si>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</si>
  <si>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</si>
  <si>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</si>
  <si>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</si>
  <si>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</si>
  <si>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</si>
  <si>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</si>
  <si>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</si>
  <si>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</si>
  <si>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</si>
  <si>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</si>
  <si>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</si>
  <si>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</si>
  <si>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</si>
  <si>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</si>
  <si>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</si>
  <si>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</si>
  <si>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</si>
  <si>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</si>
  <si>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</si>
  <si>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</si>
  <si>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</si>
  <si>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</si>
  <si>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</si>
  <si>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</si>
  <si>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Sprint Review do Sprint 3 (23/10/2026, decisão dos PO)</t>
  </si>
  <si>
    <t xml:space="preserve">• US05 e US17 aceites, 7 de 7 SP. As duas stories foram testadas pelos PO (filtros, ficha, comparação e apagar a conta).</t>
  </si>
  <si>
    <t xml:space="preserve">• O sprint fecha antes de 29/10 porque o objetivo foi cumprido. Entrou também, sem story, o menu fixo no topo (PR #40).</t>
  </si>
  <si>
    <t xml:space="preserve">• No fecho, um teste da US17 que dependia da data em que corria foi corrigido (sem mudanças no código da aplicação).</t>
  </si>
  <si>
    <t xml:space="preserve">• Sprint 4 por planear: a story nova fica a decidir com o docente.</t>
  </si>
  <si>
    <t xml:space="preserve">Replaneamento de 23/10/2026 (decisões do PO, com o protótipo do PR #44)</t>
  </si>
  <si>
    <t xml:space="preserve">• O plano de candidatura ao Concurso Nacional de Acesso substitui as opcionais: épico novo E12 com a US33 (condições de acesso), US34 (notas), US35 (nota por curso), US36 (as 6 opções), US37 (assistente com as notas) e US38 (datas do concurso).</t>
  </si>
  <si>
    <t xml:space="preserve">• As 22 stories das opcionais passam a Won't (fase 2) e ficam no fim do backlog, para a rastreabilidade.</t>
  </si>
  <si>
    <t xml:space="preserve">• US04 reescrita: o catálogo vem da DGES por recolha, em vez de ser importado por CSV na gestão; passa a Must e entra no Sprint 4.</t>
  </si>
  <si>
    <t xml:space="preserve">• US39 nova (gestão do catálogo), a partir da sugestão de um colega de editar a base de dados na área de gestão; fica no Backlog (Should).</t>
  </si>
  <si>
    <t xml:space="preserve">• Atenção: o Sprint 4 fica com 18 SP planeados, acima da velocidade (10). O código das US33 a US36 foi feito antes do sprint (protótipo), como a US29 e a US30 no Sprint 2. Se o docente achar demais, a US36 é a primeira a sair (é Should).</t>
  </si>
  <si>
    <t xml:space="preserve">• Sem story: o registo pede o nome, terminar sessão volta à página inicial e «As minhas decisões» sai do menu (PR #43 e #44).</t>
  </si>
  <si>
    <t xml:space="preserve">• Correção: o Sprint Planning de 22/10 dizia «US17 (3 SP)»; a US17 tem 2 SP (o total de 7 SP da Sprint Review está certo).</t>
  </si>
  <si>
    <t xml:space="preserve">• A story do Sprint 4 tem de ser confirmada com o docente.</t>
  </si>
  <si>
    <t xml:space="preserve">• (23/10, mais tarde) Stories novas US40 a US43, propostas pelo Claude e aceites pelo PO: quanto preciso no exame, tendência do último colocado, procura do curso e partilhar o plano. Feitas no PR #44.</t>
  </si>
  <si>
    <t xml:space="preserve"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</si>
  <si>
    <t xml:space="preserve">• Sem story: a gestão passa a ativar contas por confirmar, enquanto o site não envia emails reais (PR #43).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</si>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</sst>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27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60156413"/>
        <c:axId val="87388493"/>
      </c:barChart>
      <c:catAx>
        <c:axId val="601564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388493"/>
        <c:crosses val="autoZero"/>
        <c:auto val="1"/>
        <c:lblAlgn val="ctr"/>
        <c:lblOffset val="100"/>
        <c:noMultiLvlLbl val="0"/>
      </c:catAx>
      <c:valAx>
        <c:axId val="8738849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564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2088360</xdr:colOff>
      <xdr:row>24</xdr:row>
      <xdr:rowOff>85320</xdr:rowOff>
    </xdr:to>
    <xdr:graphicFrame>
      <xdr:nvGraphicFramePr>
        <xdr:cNvPr id="0" name="Chart 1"/>
        <xdr:cNvGraphicFramePr/>
      </xdr:nvGraphicFramePr>
      <xdr:xfrm>
        <a:off x="775440" y="3992040"/>
        <a:ext cx="5753520" cy="251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7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22</v>
      </c>
      <c r="K11" s="8"/>
      <c r="L11" s="8" t="s">
        <v>58</v>
      </c>
      <c r="M11" s="5" t="s">
        <v>59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61</v>
      </c>
      <c r="D12" s="6" t="s">
        <v>62</v>
      </c>
      <c r="E12" s="6" t="s">
        <v>63</v>
      </c>
      <c r="F12" s="6" t="s">
        <v>64</v>
      </c>
      <c r="G12" s="7" t="n">
        <v>2</v>
      </c>
      <c r="H12" s="5" t="s">
        <v>20</v>
      </c>
      <c r="I12" s="7" t="s">
        <v>57</v>
      </c>
      <c r="J12" s="7" t="s">
        <v>22</v>
      </c>
      <c r="K12" s="8"/>
      <c r="L12" s="8" t="s">
        <v>65</v>
      </c>
      <c r="M12" s="5" t="s">
        <v>66</v>
      </c>
    </row>
    <row r="13" customFormat="false" ht="75" hidden="false" customHeight="true" outlineLevel="0" collapsed="false">
      <c r="A13" s="5" t="n">
        <v>9</v>
      </c>
      <c r="B13" s="5" t="s">
        <v>59</v>
      </c>
      <c r="C13" s="5" t="s">
        <v>53</v>
      </c>
      <c r="D13" s="6" t="s">
        <v>67</v>
      </c>
      <c r="E13" s="6" t="s">
        <v>68</v>
      </c>
      <c r="F13" s="6" t="s">
        <v>69</v>
      </c>
      <c r="G13" s="7" t="n">
        <v>5</v>
      </c>
      <c r="H13" s="5" t="s">
        <v>20</v>
      </c>
      <c r="I13" s="7" t="s">
        <v>70</v>
      </c>
      <c r="J13" s="7" t="s">
        <v>71</v>
      </c>
      <c r="K13" s="8"/>
      <c r="L13" s="8" t="s">
        <v>72</v>
      </c>
      <c r="M13" s="5" t="s">
        <v>29</v>
      </c>
    </row>
    <row r="14" customFormat="false" ht="75" hidden="false" customHeight="true" outlineLevel="0" collapsed="false">
      <c r="A14" s="5" t="n">
        <v>10</v>
      </c>
      <c r="B14" s="5" t="s">
        <v>73</v>
      </c>
      <c r="C14" s="5" t="s">
        <v>74</v>
      </c>
      <c r="D14" s="6" t="s">
        <v>75</v>
      </c>
      <c r="E14" s="6" t="s">
        <v>76</v>
      </c>
      <c r="F14" s="6" t="s">
        <v>77</v>
      </c>
      <c r="G14" s="7" t="n">
        <v>3</v>
      </c>
      <c r="H14" s="5" t="s">
        <v>20</v>
      </c>
      <c r="I14" s="7" t="s">
        <v>70</v>
      </c>
      <c r="J14" s="7" t="s">
        <v>71</v>
      </c>
      <c r="K14" s="8"/>
      <c r="L14" s="8" t="s">
        <v>78</v>
      </c>
      <c r="M14" s="5" t="s">
        <v>79</v>
      </c>
    </row>
    <row r="15" customFormat="false" ht="75" hidden="false" customHeight="true" outlineLevel="0" collapsed="false">
      <c r="A15" s="5" t="n">
        <v>11</v>
      </c>
      <c r="B15" s="5" t="s">
        <v>80</v>
      </c>
      <c r="C15" s="5" t="s">
        <v>74</v>
      </c>
      <c r="D15" s="6" t="s">
        <v>81</v>
      </c>
      <c r="E15" s="6" t="s">
        <v>82</v>
      </c>
      <c r="F15" s="6" t="s">
        <v>83</v>
      </c>
      <c r="G15" s="7" t="n">
        <v>2</v>
      </c>
      <c r="H15" s="5" t="s">
        <v>20</v>
      </c>
      <c r="I15" s="7" t="s">
        <v>70</v>
      </c>
      <c r="J15" s="7" t="s">
        <v>71</v>
      </c>
      <c r="K15" s="8"/>
      <c r="L15" s="8" t="s">
        <v>84</v>
      </c>
      <c r="M15" s="5" t="s">
        <v>79</v>
      </c>
    </row>
    <row r="16" customFormat="false" ht="75" hidden="false" customHeight="true" outlineLevel="0" collapsed="false">
      <c r="A16" s="5" t="n">
        <v>12</v>
      </c>
      <c r="B16" s="5" t="s">
        <v>85</v>
      </c>
      <c r="C16" s="5" t="s">
        <v>74</v>
      </c>
      <c r="D16" s="6" t="s">
        <v>86</v>
      </c>
      <c r="E16" s="6" t="s">
        <v>87</v>
      </c>
      <c r="F16" s="6" t="s">
        <v>88</v>
      </c>
      <c r="G16" s="7" t="n">
        <v>3</v>
      </c>
      <c r="H16" s="5" t="s">
        <v>20</v>
      </c>
      <c r="I16" s="7" t="s">
        <v>70</v>
      </c>
      <c r="J16" s="7" t="s">
        <v>71</v>
      </c>
      <c r="K16" s="8"/>
      <c r="L16" s="8" t="s">
        <v>89</v>
      </c>
      <c r="M16" s="5" t="s">
        <v>79</v>
      </c>
    </row>
    <row r="17" customFormat="false" ht="75" hidden="false" customHeight="true" outlineLevel="0" collapsed="false">
      <c r="A17" s="5" t="n">
        <v>13</v>
      </c>
      <c r="B17" s="5" t="s">
        <v>90</v>
      </c>
      <c r="C17" s="5" t="s">
        <v>74</v>
      </c>
      <c r="D17" s="6" t="s">
        <v>91</v>
      </c>
      <c r="E17" s="6" t="s">
        <v>92</v>
      </c>
      <c r="F17" s="6" t="s">
        <v>93</v>
      </c>
      <c r="G17" s="7" t="n">
        <v>5</v>
      </c>
      <c r="H17" s="5" t="s">
        <v>94</v>
      </c>
      <c r="I17" s="7" t="s">
        <v>70</v>
      </c>
      <c r="J17" s="7" t="s">
        <v>71</v>
      </c>
      <c r="K17" s="8"/>
      <c r="L17" s="8" t="s">
        <v>95</v>
      </c>
      <c r="M17" s="5" t="s">
        <v>79</v>
      </c>
    </row>
    <row r="18" customFormat="false" ht="75" hidden="false" customHeight="true" outlineLevel="0" collapsed="false">
      <c r="A18" s="5" t="n">
        <v>14</v>
      </c>
      <c r="B18" s="5" t="s">
        <v>96</v>
      </c>
      <c r="C18" s="5" t="s">
        <v>74</v>
      </c>
      <c r="D18" s="6" t="s">
        <v>97</v>
      </c>
      <c r="E18" s="6" t="s">
        <v>98</v>
      </c>
      <c r="F18" s="6" t="s">
        <v>99</v>
      </c>
      <c r="G18" s="7" t="n">
        <v>2</v>
      </c>
      <c r="H18" s="5" t="s">
        <v>94</v>
      </c>
      <c r="I18" s="7" t="s">
        <v>70</v>
      </c>
      <c r="J18" s="7" t="s">
        <v>71</v>
      </c>
      <c r="K18" s="8"/>
      <c r="L18" s="8" t="s">
        <v>100</v>
      </c>
      <c r="M18" s="5" t="s">
        <v>79</v>
      </c>
    </row>
    <row r="19" customFormat="false" ht="75" hidden="false" customHeight="true" outlineLevel="0" collapsed="false">
      <c r="A19" s="5" t="n">
        <v>15</v>
      </c>
      <c r="B19" s="5" t="s">
        <v>101</v>
      </c>
      <c r="C19" s="5" t="s">
        <v>74</v>
      </c>
      <c r="D19" s="6" t="s">
        <v>102</v>
      </c>
      <c r="E19" s="6" t="s">
        <v>103</v>
      </c>
      <c r="F19" s="6" t="s">
        <v>104</v>
      </c>
      <c r="G19" s="7" t="n">
        <v>2</v>
      </c>
      <c r="H19" s="5" t="s">
        <v>94</v>
      </c>
      <c r="I19" s="7" t="s">
        <v>70</v>
      </c>
      <c r="J19" s="7" t="s">
        <v>71</v>
      </c>
      <c r="K19" s="8"/>
      <c r="L19" s="8" t="s">
        <v>100</v>
      </c>
      <c r="M19" s="5" t="s">
        <v>79</v>
      </c>
    </row>
    <row r="20" customFormat="false" ht="75" hidden="false" customHeight="true" outlineLevel="0" collapsed="false">
      <c r="A20" s="5" t="n">
        <v>16</v>
      </c>
      <c r="B20" s="5" t="s">
        <v>105</v>
      </c>
      <c r="C20" s="5" t="s">
        <v>74</v>
      </c>
      <c r="D20" s="6" t="s">
        <v>106</v>
      </c>
      <c r="E20" s="6" t="s">
        <v>107</v>
      </c>
      <c r="F20" s="6" t="s">
        <v>108</v>
      </c>
      <c r="G20" s="7" t="n">
        <v>2</v>
      </c>
      <c r="H20" s="5" t="s">
        <v>94</v>
      </c>
      <c r="I20" s="7" t="s">
        <v>70</v>
      </c>
      <c r="J20" s="7" t="s">
        <v>71</v>
      </c>
      <c r="K20" s="8"/>
      <c r="L20" s="8" t="s">
        <v>100</v>
      </c>
      <c r="M20" s="5" t="s">
        <v>79</v>
      </c>
    </row>
    <row r="21" customFormat="false" ht="75" hidden="false" customHeight="true" outlineLevel="0" collapsed="false">
      <c r="A21" s="5" t="n">
        <v>17</v>
      </c>
      <c r="B21" s="5" t="s">
        <v>109</v>
      </c>
      <c r="C21" s="5" t="s">
        <v>74</v>
      </c>
      <c r="D21" s="6" t="s">
        <v>110</v>
      </c>
      <c r="E21" s="6" t="s">
        <v>111</v>
      </c>
      <c r="F21" s="6" t="s">
        <v>112</v>
      </c>
      <c r="G21" s="7" t="n">
        <v>3</v>
      </c>
      <c r="H21" s="5" t="s">
        <v>113</v>
      </c>
      <c r="I21" s="7" t="s">
        <v>70</v>
      </c>
      <c r="J21" s="7" t="s">
        <v>71</v>
      </c>
      <c r="K21" s="8"/>
      <c r="L21" s="8" t="s">
        <v>114</v>
      </c>
      <c r="M21" s="5" t="s">
        <v>79</v>
      </c>
    </row>
    <row r="22" customFormat="false" ht="75" hidden="false" customHeight="true" outlineLevel="0" collapsed="false">
      <c r="A22" s="5" t="n">
        <v>18</v>
      </c>
      <c r="B22" s="5" t="s">
        <v>115</v>
      </c>
      <c r="C22" s="5" t="s">
        <v>74</v>
      </c>
      <c r="D22" s="6" t="s">
        <v>116</v>
      </c>
      <c r="E22" s="6" t="s">
        <v>117</v>
      </c>
      <c r="F22" s="6" t="s">
        <v>118</v>
      </c>
      <c r="G22" s="7" t="n">
        <v>3</v>
      </c>
      <c r="H22" s="5" t="s">
        <v>94</v>
      </c>
      <c r="I22" s="7" t="s">
        <v>119</v>
      </c>
      <c r="J22" s="7" t="s">
        <v>120</v>
      </c>
      <c r="K22" s="8"/>
      <c r="L22" s="8" t="s">
        <v>121</v>
      </c>
      <c r="M22" s="5" t="s">
        <v>79</v>
      </c>
    </row>
    <row r="23" customFormat="false" ht="75" hidden="false" customHeight="true" outlineLevel="0" collapsed="false">
      <c r="A23" s="5" t="n">
        <v>19</v>
      </c>
      <c r="B23" s="5" t="s">
        <v>122</v>
      </c>
      <c r="C23" s="5" t="s">
        <v>123</v>
      </c>
      <c r="D23" s="6" t="s">
        <v>124</v>
      </c>
      <c r="E23" s="6" t="s">
        <v>125</v>
      </c>
      <c r="F23" s="6" t="s">
        <v>126</v>
      </c>
      <c r="G23" s="7" t="n">
        <v>5</v>
      </c>
      <c r="H23" s="5" t="s">
        <v>94</v>
      </c>
      <c r="I23" s="7" t="s">
        <v>119</v>
      </c>
      <c r="J23" s="7" t="s">
        <v>120</v>
      </c>
      <c r="K23" s="8"/>
      <c r="L23" s="8" t="s">
        <v>127</v>
      </c>
      <c r="M23" s="5" t="s">
        <v>79</v>
      </c>
    </row>
    <row r="24" customFormat="false" ht="75" hidden="false" customHeight="true" outlineLevel="0" collapsed="false">
      <c r="A24" s="5" t="n">
        <v>20</v>
      </c>
      <c r="B24" s="5" t="s">
        <v>128</v>
      </c>
      <c r="C24" s="5" t="s">
        <v>74</v>
      </c>
      <c r="D24" s="6" t="s">
        <v>129</v>
      </c>
      <c r="E24" s="6" t="s">
        <v>130</v>
      </c>
      <c r="F24" s="6" t="s">
        <v>131</v>
      </c>
      <c r="G24" s="7" t="n">
        <v>2</v>
      </c>
      <c r="H24" s="5" t="s">
        <v>113</v>
      </c>
      <c r="I24" s="7" t="s">
        <v>119</v>
      </c>
      <c r="J24" s="7" t="s">
        <v>120</v>
      </c>
      <c r="K24" s="8"/>
      <c r="L24" s="8" t="s">
        <v>132</v>
      </c>
      <c r="M24" s="5" t="s">
        <v>79</v>
      </c>
    </row>
    <row r="25" customFormat="false" ht="75" hidden="false" customHeight="true" outlineLevel="0" collapsed="false">
      <c r="A25" s="5" t="n">
        <v>21</v>
      </c>
      <c r="B25" s="5" t="s">
        <v>133</v>
      </c>
      <c r="C25" s="5" t="s">
        <v>134</v>
      </c>
      <c r="D25" s="6" t="s">
        <v>135</v>
      </c>
      <c r="E25" s="6" t="s">
        <v>136</v>
      </c>
      <c r="F25" s="6" t="s">
        <v>137</v>
      </c>
      <c r="G25" s="7" t="n">
        <v>5</v>
      </c>
      <c r="H25" s="5" t="s">
        <v>138</v>
      </c>
      <c r="I25" s="7" t="s">
        <v>119</v>
      </c>
      <c r="J25" s="7" t="s">
        <v>120</v>
      </c>
      <c r="K25" s="8"/>
      <c r="L25" s="8" t="s">
        <v>139</v>
      </c>
      <c r="M25" s="5" t="s">
        <v>52</v>
      </c>
    </row>
    <row r="26" customFormat="false" ht="75" hidden="false" customHeight="true" outlineLevel="0" collapsed="false">
      <c r="A26" s="5" t="n">
        <v>22</v>
      </c>
      <c r="B26" s="5" t="s">
        <v>140</v>
      </c>
      <c r="C26" s="5" t="s">
        <v>134</v>
      </c>
      <c r="D26" s="6" t="s">
        <v>141</v>
      </c>
      <c r="E26" s="6" t="s">
        <v>142</v>
      </c>
      <c r="F26" s="6" t="s">
        <v>143</v>
      </c>
      <c r="G26" s="7" t="n">
        <v>5</v>
      </c>
      <c r="H26" s="5" t="s">
        <v>138</v>
      </c>
      <c r="I26" s="7" t="s">
        <v>119</v>
      </c>
      <c r="J26" s="7" t="s">
        <v>120</v>
      </c>
      <c r="K26" s="8"/>
      <c r="L26" s="8" t="s">
        <v>144</v>
      </c>
      <c r="M26" s="5" t="s">
        <v>133</v>
      </c>
    </row>
    <row r="27" customFormat="false" ht="75" hidden="false" customHeight="true" outlineLevel="0" collapsed="false">
      <c r="A27" s="5" t="n">
        <v>23</v>
      </c>
      <c r="B27" s="5" t="s">
        <v>145</v>
      </c>
      <c r="C27" s="5" t="s">
        <v>61</v>
      </c>
      <c r="D27" s="6" t="s">
        <v>146</v>
      </c>
      <c r="E27" s="6" t="s">
        <v>147</v>
      </c>
      <c r="F27" s="6" t="s">
        <v>148</v>
      </c>
      <c r="G27" s="7" t="n">
        <v>5</v>
      </c>
      <c r="H27" s="5" t="s">
        <v>138</v>
      </c>
      <c r="I27" s="7" t="s">
        <v>119</v>
      </c>
      <c r="J27" s="7" t="s">
        <v>120</v>
      </c>
      <c r="K27" s="8"/>
      <c r="L27" s="8" t="s">
        <v>149</v>
      </c>
      <c r="M27" s="5" t="s">
        <v>145</v>
      </c>
    </row>
    <row r="28" customFormat="false" ht="75" hidden="false" customHeight="true" outlineLevel="0" collapsed="false">
      <c r="A28" s="5" t="n">
        <v>24</v>
      </c>
      <c r="B28" s="5" t="s">
        <v>150</v>
      </c>
      <c r="C28" s="5" t="s">
        <v>151</v>
      </c>
      <c r="D28" s="6" t="s">
        <v>152</v>
      </c>
      <c r="E28" s="6" t="s">
        <v>153</v>
      </c>
      <c r="F28" s="6" t="s">
        <v>154</v>
      </c>
      <c r="G28" s="7" t="n">
        <v>3</v>
      </c>
      <c r="H28" s="5" t="s">
        <v>138</v>
      </c>
      <c r="I28" s="7" t="s">
        <v>119</v>
      </c>
      <c r="J28" s="7" t="s">
        <v>120</v>
      </c>
      <c r="K28" s="8"/>
      <c r="L28" s="8" t="s">
        <v>155</v>
      </c>
      <c r="M28" s="5" t="s">
        <v>150</v>
      </c>
    </row>
    <row r="29" customFormat="false" ht="75" hidden="false" customHeight="true" outlineLevel="0" collapsed="false">
      <c r="A29" s="5" t="n">
        <v>25</v>
      </c>
      <c r="B29" s="5" t="s">
        <v>156</v>
      </c>
      <c r="C29" s="5" t="s">
        <v>134</v>
      </c>
      <c r="D29" s="6" t="s">
        <v>157</v>
      </c>
      <c r="E29" s="6" t="s">
        <v>158</v>
      </c>
      <c r="F29" s="6" t="s">
        <v>159</v>
      </c>
      <c r="G29" s="7" t="n">
        <v>3</v>
      </c>
      <c r="H29" s="5" t="s">
        <v>138</v>
      </c>
      <c r="I29" s="7" t="s">
        <v>119</v>
      </c>
      <c r="J29" s="7" t="s">
        <v>120</v>
      </c>
      <c r="K29" s="8"/>
      <c r="L29" s="8" t="s">
        <v>160</v>
      </c>
      <c r="M29" s="5" t="s">
        <v>140</v>
      </c>
    </row>
    <row r="30" customFormat="false" ht="75" hidden="false" customHeight="true" outlineLevel="0" collapsed="false">
      <c r="A30" s="5" t="n">
        <v>26</v>
      </c>
      <c r="B30" s="5" t="s">
        <v>66</v>
      </c>
      <c r="C30" s="5" t="s">
        <v>161</v>
      </c>
      <c r="D30" s="6" t="s">
        <v>162</v>
      </c>
      <c r="E30" s="6" t="s">
        <v>163</v>
      </c>
      <c r="F30" s="6" t="s">
        <v>164</v>
      </c>
      <c r="G30" s="7" t="n">
        <v>5</v>
      </c>
      <c r="H30" s="5" t="s">
        <v>138</v>
      </c>
      <c r="I30" s="7" t="s">
        <v>119</v>
      </c>
      <c r="J30" s="7" t="s">
        <v>120</v>
      </c>
      <c r="K30" s="8"/>
      <c r="L30" s="8" t="s">
        <v>165</v>
      </c>
      <c r="M30" s="5" t="s">
        <v>166</v>
      </c>
    </row>
    <row r="31" customFormat="false" ht="75" hidden="false" customHeight="true" outlineLevel="0" collapsed="false">
      <c r="A31" s="5" t="n">
        <v>27</v>
      </c>
      <c r="B31" s="5" t="s">
        <v>167</v>
      </c>
      <c r="C31" s="5" t="s">
        <v>151</v>
      </c>
      <c r="D31" s="6" t="s">
        <v>168</v>
      </c>
      <c r="E31" s="6" t="s">
        <v>169</v>
      </c>
      <c r="F31" s="6" t="s">
        <v>170</v>
      </c>
      <c r="G31" s="7" t="n">
        <v>8</v>
      </c>
      <c r="H31" s="5" t="s">
        <v>138</v>
      </c>
      <c r="I31" s="7" t="s">
        <v>119</v>
      </c>
      <c r="J31" s="7" t="s">
        <v>120</v>
      </c>
      <c r="K31" s="8"/>
      <c r="L31" s="8" t="s">
        <v>165</v>
      </c>
      <c r="M31" s="5" t="s">
        <v>167</v>
      </c>
    </row>
    <row r="32" customFormat="false" ht="75" hidden="false" customHeight="true" outlineLevel="0" collapsed="false">
      <c r="A32" s="5" t="n">
        <v>28</v>
      </c>
      <c r="B32" s="5" t="s">
        <v>171</v>
      </c>
      <c r="C32" s="5" t="s">
        <v>172</v>
      </c>
      <c r="D32" s="6" t="s">
        <v>173</v>
      </c>
      <c r="E32" s="6" t="s">
        <v>174</v>
      </c>
      <c r="F32" s="6" t="s">
        <v>175</v>
      </c>
      <c r="G32" s="7" t="n">
        <v>2</v>
      </c>
      <c r="H32" s="5" t="s">
        <v>138</v>
      </c>
      <c r="I32" s="7" t="s">
        <v>119</v>
      </c>
      <c r="J32" s="7" t="s">
        <v>120</v>
      </c>
      <c r="K32" s="8"/>
      <c r="L32" s="8" t="s">
        <v>165</v>
      </c>
      <c r="M32" s="5" t="s">
        <v>176</v>
      </c>
    </row>
    <row r="33" customFormat="false" ht="75" hidden="false" customHeight="true" outlineLevel="0" collapsed="false">
      <c r="A33" s="5" t="n">
        <v>29</v>
      </c>
      <c r="B33" s="5" t="s">
        <v>177</v>
      </c>
      <c r="C33" s="5" t="s">
        <v>178</v>
      </c>
      <c r="D33" s="6" t="s">
        <v>179</v>
      </c>
      <c r="E33" s="6" t="s">
        <v>180</v>
      </c>
      <c r="F33" s="6" t="s">
        <v>181</v>
      </c>
      <c r="G33" s="7" t="n">
        <v>5</v>
      </c>
      <c r="H33" s="5" t="s">
        <v>138</v>
      </c>
      <c r="I33" s="7" t="s">
        <v>119</v>
      </c>
      <c r="J33" s="7" t="s">
        <v>120</v>
      </c>
      <c r="K33" s="8"/>
      <c r="L33" s="8" t="s">
        <v>182</v>
      </c>
      <c r="M33" s="5" t="s">
        <v>171</v>
      </c>
    </row>
    <row r="34" customFormat="false" ht="75" hidden="false" customHeight="true" outlineLevel="0" collapsed="false">
      <c r="A34" s="5" t="n">
        <v>30</v>
      </c>
      <c r="B34" s="5" t="s">
        <v>176</v>
      </c>
      <c r="C34" s="5" t="s">
        <v>161</v>
      </c>
      <c r="D34" s="6" t="s">
        <v>183</v>
      </c>
      <c r="E34" s="6" t="s">
        <v>184</v>
      </c>
      <c r="F34" s="6" t="s">
        <v>185</v>
      </c>
      <c r="G34" s="7" t="n">
        <v>5</v>
      </c>
      <c r="H34" s="5" t="s">
        <v>138</v>
      </c>
      <c r="I34" s="7" t="s">
        <v>119</v>
      </c>
      <c r="J34" s="7" t="s">
        <v>120</v>
      </c>
      <c r="K34" s="8"/>
      <c r="L34" s="8" t="s">
        <v>186</v>
      </c>
      <c r="M34" s="5" t="s">
        <v>187</v>
      </c>
    </row>
    <row r="35" customFormat="false" ht="75" hidden="false" customHeight="true" outlineLevel="0" collapsed="false">
      <c r="A35" s="5" t="n">
        <v>31</v>
      </c>
      <c r="B35" s="5" t="s">
        <v>188</v>
      </c>
      <c r="C35" s="5" t="s">
        <v>123</v>
      </c>
      <c r="D35" s="6" t="s">
        <v>189</v>
      </c>
      <c r="E35" s="6" t="s">
        <v>190</v>
      </c>
      <c r="F35" s="6" t="s">
        <v>191</v>
      </c>
      <c r="G35" s="7" t="n">
        <v>3</v>
      </c>
      <c r="H35" s="5" t="s">
        <v>138</v>
      </c>
      <c r="I35" s="7" t="s">
        <v>119</v>
      </c>
      <c r="J35" s="7" t="s">
        <v>120</v>
      </c>
      <c r="K35" s="8"/>
      <c r="L35" s="8" t="s">
        <v>192</v>
      </c>
      <c r="M35" s="5" t="s">
        <v>193</v>
      </c>
    </row>
    <row r="36" customFormat="false" ht="75" hidden="false" customHeight="true" outlineLevel="0" collapsed="false">
      <c r="A36" s="5" t="n">
        <v>32</v>
      </c>
      <c r="B36" s="5" t="s">
        <v>194</v>
      </c>
      <c r="C36" s="5" t="s">
        <v>134</v>
      </c>
      <c r="D36" s="6" t="s">
        <v>195</v>
      </c>
      <c r="E36" s="6" t="s">
        <v>196</v>
      </c>
      <c r="F36" s="6" t="s">
        <v>197</v>
      </c>
      <c r="G36" s="7" t="n">
        <v>3</v>
      </c>
      <c r="H36" s="5" t="s">
        <v>138</v>
      </c>
      <c r="I36" s="7" t="s">
        <v>119</v>
      </c>
      <c r="J36" s="7" t="s">
        <v>120</v>
      </c>
      <c r="K36" s="8"/>
      <c r="L36" s="8" t="s">
        <v>192</v>
      </c>
      <c r="M36" s="5" t="s">
        <v>156</v>
      </c>
    </row>
    <row r="37" customFormat="false" ht="75" hidden="false" customHeight="true" outlineLevel="0" collapsed="false">
      <c r="A37" s="5" t="n">
        <v>33</v>
      </c>
      <c r="B37" s="5" t="s">
        <v>198</v>
      </c>
      <c r="C37" s="5" t="s">
        <v>123</v>
      </c>
      <c r="D37" s="6" t="s">
        <v>199</v>
      </c>
      <c r="E37" s="6" t="s">
        <v>200</v>
      </c>
      <c r="F37" s="6" t="s">
        <v>201</v>
      </c>
      <c r="G37" s="7" t="n">
        <v>3</v>
      </c>
      <c r="H37" s="5" t="s">
        <v>138</v>
      </c>
      <c r="I37" s="7" t="s">
        <v>119</v>
      </c>
      <c r="J37" s="7" t="s">
        <v>120</v>
      </c>
      <c r="K37" s="8"/>
      <c r="L37" s="8" t="s">
        <v>202</v>
      </c>
      <c r="M37" s="5" t="s">
        <v>203</v>
      </c>
    </row>
    <row r="38" customFormat="false" ht="75" hidden="false" customHeight="true" outlineLevel="0" collapsed="false">
      <c r="A38" s="5" t="n">
        <v>34</v>
      </c>
      <c r="B38" s="5" t="s">
        <v>166</v>
      </c>
      <c r="C38" s="5" t="s">
        <v>172</v>
      </c>
      <c r="D38" s="6" t="s">
        <v>204</v>
      </c>
      <c r="E38" s="6" t="s">
        <v>205</v>
      </c>
      <c r="F38" s="6" t="s">
        <v>206</v>
      </c>
      <c r="G38" s="7" t="n">
        <v>2</v>
      </c>
      <c r="H38" s="5" t="s">
        <v>138</v>
      </c>
      <c r="I38" s="7" t="s">
        <v>119</v>
      </c>
      <c r="J38" s="7" t="s">
        <v>120</v>
      </c>
      <c r="K38" s="8"/>
      <c r="L38" s="8" t="s">
        <v>192</v>
      </c>
      <c r="M38" s="5" t="s">
        <v>188</v>
      </c>
    </row>
    <row r="39" customFormat="false" ht="75" hidden="false" customHeight="true" outlineLevel="0" collapsed="false">
      <c r="A39" s="5" t="n">
        <v>35</v>
      </c>
      <c r="B39" s="5" t="s">
        <v>187</v>
      </c>
      <c r="C39" s="5" t="s">
        <v>172</v>
      </c>
      <c r="D39" s="6" t="s">
        <v>207</v>
      </c>
      <c r="E39" s="6" t="s">
        <v>208</v>
      </c>
      <c r="F39" s="6" t="s">
        <v>209</v>
      </c>
      <c r="G39" s="7" t="n">
        <v>5</v>
      </c>
      <c r="H39" s="5" t="s">
        <v>138</v>
      </c>
      <c r="I39" s="7" t="s">
        <v>119</v>
      </c>
      <c r="J39" s="7" t="s">
        <v>120</v>
      </c>
      <c r="K39" s="8"/>
      <c r="L39" s="8" t="s">
        <v>210</v>
      </c>
      <c r="M39" s="5" t="s">
        <v>177</v>
      </c>
    </row>
    <row r="40" customFormat="false" ht="75" hidden="false" customHeight="true" outlineLevel="0" collapsed="false">
      <c r="A40" s="5" t="n">
        <v>36</v>
      </c>
      <c r="B40" s="5" t="s">
        <v>211</v>
      </c>
      <c r="C40" s="5" t="s">
        <v>212</v>
      </c>
      <c r="D40" s="6" t="s">
        <v>213</v>
      </c>
      <c r="E40" s="6" t="s">
        <v>214</v>
      </c>
      <c r="F40" s="6" t="s">
        <v>215</v>
      </c>
      <c r="G40" s="7" t="n">
        <v>3</v>
      </c>
      <c r="H40" s="5" t="s">
        <v>138</v>
      </c>
      <c r="I40" s="7" t="s">
        <v>119</v>
      </c>
      <c r="J40" s="7" t="s">
        <v>120</v>
      </c>
      <c r="K40" s="8"/>
      <c r="L40" s="8" t="s">
        <v>216</v>
      </c>
      <c r="M40" s="5" t="s">
        <v>217</v>
      </c>
    </row>
    <row r="41" customFormat="false" ht="75" hidden="false" customHeight="true" outlineLevel="0" collapsed="false">
      <c r="A41" s="5" t="n">
        <v>37</v>
      </c>
      <c r="B41" s="5" t="s">
        <v>217</v>
      </c>
      <c r="C41" s="5" t="s">
        <v>172</v>
      </c>
      <c r="D41" s="6" t="s">
        <v>218</v>
      </c>
      <c r="E41" s="6" t="s">
        <v>219</v>
      </c>
      <c r="F41" s="6" t="s">
        <v>220</v>
      </c>
      <c r="G41" s="7" t="n">
        <v>3</v>
      </c>
      <c r="H41" s="5" t="s">
        <v>138</v>
      </c>
      <c r="I41" s="7" t="s">
        <v>119</v>
      </c>
      <c r="J41" s="7" t="s">
        <v>120</v>
      </c>
      <c r="K41" s="8"/>
      <c r="L41" s="8" t="s">
        <v>221</v>
      </c>
      <c r="M41" s="5" t="s">
        <v>60</v>
      </c>
    </row>
    <row r="42" customFormat="false" ht="75" hidden="false" customHeight="true" outlineLevel="0" collapsed="false">
      <c r="A42" s="5" t="n">
        <v>38</v>
      </c>
      <c r="B42" s="5" t="s">
        <v>193</v>
      </c>
      <c r="C42" s="5" t="s">
        <v>178</v>
      </c>
      <c r="D42" s="6" t="s">
        <v>222</v>
      </c>
      <c r="E42" s="6" t="s">
        <v>223</v>
      </c>
      <c r="F42" s="6" t="s">
        <v>224</v>
      </c>
      <c r="G42" s="7" t="n">
        <v>3</v>
      </c>
      <c r="H42" s="5" t="s">
        <v>138</v>
      </c>
      <c r="I42" s="7" t="s">
        <v>119</v>
      </c>
      <c r="J42" s="7" t="s">
        <v>120</v>
      </c>
      <c r="K42" s="8"/>
      <c r="L42" s="8" t="s">
        <v>225</v>
      </c>
      <c r="M42" s="5" t="s">
        <v>198</v>
      </c>
    </row>
    <row r="43" customFormat="false" ht="75" hidden="false" customHeight="true" outlineLevel="0" collapsed="false">
      <c r="A43" s="5" t="n">
        <v>39</v>
      </c>
      <c r="B43" s="5" t="s">
        <v>203</v>
      </c>
      <c r="C43" s="5" t="s">
        <v>123</v>
      </c>
      <c r="D43" s="6" t="s">
        <v>226</v>
      </c>
      <c r="E43" s="6" t="s">
        <v>227</v>
      </c>
      <c r="F43" s="6" t="s">
        <v>228</v>
      </c>
      <c r="G43" s="7" t="n">
        <v>3</v>
      </c>
      <c r="H43" s="5" t="s">
        <v>138</v>
      </c>
      <c r="I43" s="7" t="s">
        <v>119</v>
      </c>
      <c r="J43" s="7" t="s">
        <v>120</v>
      </c>
      <c r="K43" s="8"/>
      <c r="L43" s="8" t="s">
        <v>225</v>
      </c>
      <c r="M43" s="5" t="s">
        <v>229</v>
      </c>
    </row>
    <row r="44" customFormat="false" ht="75" hidden="false" customHeight="true" outlineLevel="0" collapsed="false">
      <c r="A44" s="5" t="n">
        <v>40</v>
      </c>
      <c r="B44" s="5" t="s">
        <v>229</v>
      </c>
      <c r="C44" s="5" t="s">
        <v>212</v>
      </c>
      <c r="D44" s="6" t="s">
        <v>230</v>
      </c>
      <c r="E44" s="6" t="s">
        <v>231</v>
      </c>
      <c r="F44" s="6" t="s">
        <v>232</v>
      </c>
      <c r="G44" s="7" t="n">
        <v>5</v>
      </c>
      <c r="H44" s="5" t="s">
        <v>138</v>
      </c>
      <c r="I44" s="7" t="s">
        <v>119</v>
      </c>
      <c r="J44" s="7" t="s">
        <v>120</v>
      </c>
      <c r="K44" s="8"/>
      <c r="L44" s="8" t="s">
        <v>225</v>
      </c>
      <c r="M44" s="5" t="s">
        <v>233</v>
      </c>
    </row>
    <row r="45" customFormat="false" ht="75" hidden="false" customHeight="true" outlineLevel="0" collapsed="false">
      <c r="A45" s="5" t="n">
        <v>41</v>
      </c>
      <c r="B45" s="5" t="s">
        <v>233</v>
      </c>
      <c r="C45" s="5" t="s">
        <v>172</v>
      </c>
      <c r="D45" s="6" t="s">
        <v>234</v>
      </c>
      <c r="E45" s="6" t="s">
        <v>235</v>
      </c>
      <c r="F45" s="6" t="s">
        <v>236</v>
      </c>
      <c r="G45" s="7" t="n">
        <v>8</v>
      </c>
      <c r="H45" s="5" t="s">
        <v>138</v>
      </c>
      <c r="I45" s="7" t="s">
        <v>119</v>
      </c>
      <c r="J45" s="7" t="s">
        <v>120</v>
      </c>
      <c r="K45" s="8"/>
      <c r="L45" s="8" t="s">
        <v>225</v>
      </c>
      <c r="M45" s="5" t="s">
        <v>194</v>
      </c>
    </row>
    <row r="46" customFormat="false" ht="75" hidden="false" customHeight="true" outlineLevel="0" collapsed="false">
      <c r="A46" s="5" t="n">
        <v>42</v>
      </c>
      <c r="B46" s="5" t="s">
        <v>237</v>
      </c>
      <c r="C46" s="5" t="s">
        <v>123</v>
      </c>
      <c r="D46" s="6" t="s">
        <v>238</v>
      </c>
      <c r="E46" s="6" t="s">
        <v>239</v>
      </c>
      <c r="F46" s="6" t="s">
        <v>240</v>
      </c>
      <c r="G46" s="7" t="n">
        <v>3</v>
      </c>
      <c r="H46" s="5" t="s">
        <v>138</v>
      </c>
      <c r="I46" s="7" t="s">
        <v>119</v>
      </c>
      <c r="J46" s="7" t="s">
        <v>120</v>
      </c>
      <c r="K46" s="8"/>
      <c r="L46" s="8" t="s">
        <v>241</v>
      </c>
      <c r="M46" s="5" t="s">
        <v>237</v>
      </c>
    </row>
    <row r="47" customFormat="false" ht="75" hidden="false" customHeight="true" outlineLevel="0" collapsed="false">
      <c r="A47" s="5" t="n">
        <v>43</v>
      </c>
      <c r="B47" s="5" t="s">
        <v>242</v>
      </c>
      <c r="C47" s="5" t="s">
        <v>36</v>
      </c>
      <c r="D47" s="6" t="s">
        <v>243</v>
      </c>
      <c r="E47" s="6" t="s">
        <v>244</v>
      </c>
      <c r="F47" s="6" t="s">
        <v>245</v>
      </c>
      <c r="G47" s="7"/>
      <c r="H47" s="5"/>
      <c r="I47" s="7" t="s">
        <v>119</v>
      </c>
      <c r="J47" s="7" t="s">
        <v>246</v>
      </c>
      <c r="K47" s="8"/>
      <c r="L47" s="8" t="s">
        <v>247</v>
      </c>
      <c r="M47" s="5" t="s">
        <v>79</v>
      </c>
    </row>
    <row r="48" customFormat="false" ht="14.25" hidden="false" customHeight="false" outlineLevel="0" collapsed="false">
      <c r="F48" s="9" t="s">
        <v>248</v>
      </c>
      <c r="G48" s="9" t="n">
        <f aca="false">SUM(G5:G47)</f>
        <v>157</v>
      </c>
    </row>
    <row r="49" customFormat="false" ht="14.25" hidden="false" customHeight="false" outlineLevel="0" collapsed="false">
      <c r="F49" s="9" t="s">
        <v>249</v>
      </c>
      <c r="G49" s="9" t="n">
        <f aca="false">SUMIF(J5:J47,"Feito",G5:G47)</f>
        <v>30</v>
      </c>
    </row>
    <row r="50" customFormat="false" ht="43.25" hidden="false" customHeight="false" outlineLevel="0" collapsed="false">
      <c r="F50" s="10" t="s">
        <v>250</v>
      </c>
    </row>
  </sheetData>
  <autoFilter ref="A4:M47"/>
  <conditionalFormatting sqref="J5:J47">
    <cfRule type="cellIs" priority="2" operator="equal" aboveAverage="0" equalAverage="0" bottom="0" percent="0" rank="0" text="" dxfId="13">
      <formula>"Feito"</formula>
    </cfRule>
    <cfRule type="cellIs" priority="3" operator="equal" aboveAverage="0" equalAverage="0" bottom="0" percent="0" rank="0" text="" dxfId="14">
      <formula>"Em curso"</formula>
    </cfRule>
  </conditionalFormatting>
  <conditionalFormatting sqref="H5:H47">
    <cfRule type="cellIs" priority="4" operator="equal" aboveAverage="0" equalAverage="0" bottom="0" percent="0" rank="0" text="" dxfId="15">
      <formula>"Must"</formula>
    </cfRule>
    <cfRule type="cellIs" priority="5" operator="equal" aboveAverage="0" equalAverage="0" bottom="0" percent="0" rank="0" text="" dxfId="16">
      <formula>"Should"</formula>
    </cfRule>
    <cfRule type="cellIs" priority="6" operator="equal" aboveAverage="0" equalAverage="0" bottom="0" percent="0" rank="0" text="" dxfId="17">
      <formula>"Could"</formula>
    </cfRule>
    <cfRule type="cellIs" priority="7" operator="equal" aboveAverage="0" equalAverage="0" bottom="0" percent="0" rank="0" text="" dxfId="18">
      <formula>"Won't"</formula>
    </cfRule>
  </conditionalFormatting>
  <conditionalFormatting sqref="I5:I47">
    <cfRule type="cellIs" priority="8" operator="equal" aboveAverage="0" equalAverage="0" bottom="0" percent="0" rank="0" text="" dxfId="16">
      <formula>"Sprint 1"</formula>
    </cfRule>
    <cfRule type="cellIs" priority="9" operator="equal" aboveAverage="0" equalAverage="0" bottom="0" percent="0" rank="0" text="" dxfId="17">
      <formula>"Sprint 2"</formula>
    </cfRule>
    <cfRule type="cellIs" priority="10" operator="equal" aboveAverage="0" equalAverage="0" bottom="0" percent="0" rank="0" text="" dxfId="19">
      <formula>"Sprint 3"</formula>
    </cfRule>
    <cfRule type="cellIs" priority="11" operator="equal" aboveAverage="0" equalAverage="0" bottom="0" percent="0" rank="0" text="" dxfId="20">
      <formula>"Sprint 4"</formula>
    </cfRule>
    <cfRule type="cellIs" priority="12" operator="equal" aboveAverage="0" equalAverage="0" bottom="0" percent="0" rank="0" text="" dxfId="21">
      <formula>"Backlog"</formula>
    </cfRule>
  </conditionalFormatting>
  <dataValidations count="4">
    <dataValidation allowBlank="true" errorStyle="stop" operator="between" showDropDown="false" showErrorMessage="false" showInputMessage="false" sqref="G5:G47" type="list">
      <formula1>"1,2,3,5,8,13,21"</formula1>
      <formula2>0</formula2>
    </dataValidation>
    <dataValidation allowBlank="true" errorStyle="stop" operator="between" showDropDown="false" showErrorMessage="false" showInputMessage="false" sqref="H5:H47" type="list">
      <formula1>"Must,Should,Could,Won't"</formula1>
      <formula2>0</formula2>
    </dataValidation>
    <dataValidation allowBlank="true" errorStyle="stop" operator="between" showDropDown="false" showErrorMessage="false" showInputMessage="false" sqref="I5:I47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47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251</v>
      </c>
    </row>
    <row r="2" customFormat="false" ht="15" hidden="false" customHeight="true" outlineLevel="0" collapsed="false">
      <c r="A2" s="11" t="s">
        <v>252</v>
      </c>
    </row>
    <row r="3" customFormat="false" ht="15" hidden="false" customHeight="true" outlineLevel="0" collapsed="false">
      <c r="A3" s="12" t="s">
        <v>253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254</v>
      </c>
      <c r="C5" s="4" t="s">
        <v>255</v>
      </c>
      <c r="D5" s="4" t="s">
        <v>256</v>
      </c>
      <c r="E5" s="4" t="s">
        <v>257</v>
      </c>
      <c r="F5" s="4" t="s">
        <v>258</v>
      </c>
      <c r="G5" s="4" t="s">
        <v>259</v>
      </c>
      <c r="H5" s="4" t="s">
        <v>260</v>
      </c>
    </row>
    <row r="6" customFormat="false" ht="42" hidden="false" customHeight="true" outlineLevel="0" collapsed="false">
      <c r="A6" s="13" t="s">
        <v>21</v>
      </c>
      <c r="B6" s="14" t="s">
        <v>261</v>
      </c>
      <c r="C6" s="14" t="s">
        <v>262</v>
      </c>
      <c r="D6" s="5" t="n">
        <f aca="false">SUMIF('Product Backlog'!$I$5:$I$47,$A6,'Product Backlog'!$G$5:$G$47)</f>
        <v>10</v>
      </c>
      <c r="E6" s="5" t="n">
        <f aca="false">SUMIFS('Product Backlog'!$G$5:$G$47,'Product Backlog'!$I$5:$I$47,$A6,'Product Backlog'!$J$5:$J$47,"Feito")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Backlog'!$I$5:$I$47,$A6)</f>
        <v>3</v>
      </c>
    </row>
    <row r="7" customFormat="false" ht="42" hidden="false" customHeight="true" outlineLevel="0" collapsed="false">
      <c r="A7" s="17" t="s">
        <v>40</v>
      </c>
      <c r="B7" s="14" t="s">
        <v>263</v>
      </c>
      <c r="C7" s="14" t="s">
        <v>264</v>
      </c>
      <c r="D7" s="5" t="n">
        <f aca="false">SUMIF('Product Backlog'!$I$5:$I$47,$A7,'Product Backlog'!$G$5:$G$47)</f>
        <v>13</v>
      </c>
      <c r="E7" s="5" t="n">
        <f aca="false">SUMIFS('Product Backlog'!$G$5:$G$47,'Product Backlog'!$I$5:$I$47,$A7,'Product Backlog'!$J$5:$J$47,"Feito")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Backlog'!$I$5:$I$47,$A7)</f>
        <v>3</v>
      </c>
    </row>
    <row r="8" customFormat="false" ht="42" hidden="false" customHeight="true" outlineLevel="0" collapsed="false">
      <c r="A8" s="18" t="s">
        <v>57</v>
      </c>
      <c r="B8" s="14" t="s">
        <v>265</v>
      </c>
      <c r="C8" s="14" t="s">
        <v>266</v>
      </c>
      <c r="D8" s="5" t="n">
        <f aca="false">SUMIF('Product Backlog'!$I$5:$I$47,$A8,'Product Backlog'!$G$5:$G$47)</f>
        <v>7</v>
      </c>
      <c r="E8" s="5" t="n">
        <f aca="false">SUMIFS('Product Backlog'!$G$5:$G$47,'Product Backlog'!$I$5:$I$47,$A8,'Product Backlog'!$J$5:$J$47,"Feito")</f>
        <v>7</v>
      </c>
      <c r="F8" s="15" t="n">
        <f aca="false">IF(D8=0,0,E8/D8)</f>
        <v>1</v>
      </c>
      <c r="G8" s="16" t="n">
        <f aca="false">$C$3-D8</f>
        <v>3</v>
      </c>
      <c r="H8" s="5" t="n">
        <f aca="false">COUNTIF('Product Backlog'!$I$5:$I$47,$A8)</f>
        <v>2</v>
      </c>
    </row>
    <row r="9" customFormat="false" ht="42" hidden="false" customHeight="true" outlineLevel="0" collapsed="false">
      <c r="A9" s="19" t="s">
        <v>70</v>
      </c>
      <c r="B9" s="14" t="s">
        <v>267</v>
      </c>
      <c r="C9" s="14" t="s">
        <v>268</v>
      </c>
      <c r="D9" s="5" t="n">
        <f aca="false">SUMIF('Product Backlog'!$I$5:$I$47,$A9,'Product Backlog'!$G$5:$G$47)</f>
        <v>27</v>
      </c>
      <c r="E9" s="5" t="n">
        <f aca="false">SUMIFS('Product Backlog'!$G$5:$G$47,'Product Backlog'!$I$5:$I$47,$A9,'Product Backlog'!$J$5:$J$47,"Feito")</f>
        <v>0</v>
      </c>
      <c r="F9" s="15" t="n">
        <f aca="false">IF(D9=0,0,E9/D9)</f>
        <v>0</v>
      </c>
      <c r="G9" s="16" t="n">
        <f aca="false">$C$3-D9</f>
        <v>-17</v>
      </c>
      <c r="H9" s="5" t="n">
        <f aca="false">COUNTIF('Product Backlog'!$I$5:$I$47,$A9)</f>
        <v>9</v>
      </c>
    </row>
    <row r="10" customFormat="false" ht="42" hidden="false" customHeight="true" outlineLevel="0" collapsed="false">
      <c r="A10" s="5" t="s">
        <v>119</v>
      </c>
      <c r="B10" s="14" t="s">
        <v>269</v>
      </c>
      <c r="C10" s="14" t="s">
        <v>270</v>
      </c>
      <c r="D10" s="5" t="n">
        <f aca="false">SUMIF('Product Backlog'!$I$5:$I$47,$A10,'Product Backlog'!$G$5:$G$47)</f>
        <v>100</v>
      </c>
      <c r="E10" s="5" t="n">
        <f aca="false">SUMIFS('Product Backlog'!$G$5:$G$47,'Product Backlog'!$I$5:$I$47,$A10,'Product Backlog'!$J$5:$J$47,"Feito")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Backlog'!$I$5:$I$47,$A10)</f>
        <v>26</v>
      </c>
    </row>
    <row r="11" customFormat="false" ht="15" hidden="false" customHeight="true" outlineLevel="0" collapsed="false">
      <c r="A11" s="20" t="s">
        <v>271</v>
      </c>
      <c r="B11" s="20"/>
      <c r="C11" s="20"/>
      <c r="D11" s="21" t="n">
        <f aca="false">SUM(D6:D10)</f>
        <v>157</v>
      </c>
      <c r="E11" s="21" t="n">
        <f aca="false">SUM(E6:E10)</f>
        <v>30</v>
      </c>
      <c r="F11" s="22" t="n">
        <f aca="false">IF(D11=0,0,E11/D11)</f>
        <v>0.191082802547771</v>
      </c>
      <c r="G11" s="21"/>
      <c r="H11" s="21" t="n">
        <f aca="false">SUM(H6:H10)</f>
        <v>43</v>
      </c>
    </row>
    <row r="29" customFormat="false" ht="15" hidden="false" customHeight="true" outlineLevel="0" collapsed="false">
      <c r="A29" s="23" t="s">
        <v>272</v>
      </c>
    </row>
    <row r="30" customFormat="false" ht="15" hidden="false" customHeight="true" outlineLevel="0" collapsed="false">
      <c r="A30" s="24" t="s">
        <v>273</v>
      </c>
    </row>
    <row r="31" customFormat="false" ht="15" hidden="false" customHeight="true" outlineLevel="0" collapsed="false">
      <c r="A31" s="24" t="s">
        <v>274</v>
      </c>
    </row>
    <row r="32" customFormat="false" ht="15" hidden="false" customHeight="true" outlineLevel="0" collapsed="false">
      <c r="A32" s="24" t="s">
        <v>275</v>
      </c>
    </row>
    <row r="33" customFormat="false" ht="15" hidden="false" customHeight="true" outlineLevel="0" collapsed="false">
      <c r="A33" s="24" t="s">
        <v>276</v>
      </c>
    </row>
    <row r="34" customFormat="false" ht="15" hidden="false" customHeight="true" outlineLevel="0" collapsed="false">
      <c r="A34" s="24" t="s">
        <v>277</v>
      </c>
    </row>
    <row r="35" customFormat="false" ht="15" hidden="false" customHeight="true" outlineLevel="0" collapsed="false">
      <c r="A35" s="24" t="s">
        <v>278</v>
      </c>
    </row>
    <row r="36" customFormat="false" ht="15" hidden="false" customHeight="true" outlineLevel="0" collapsed="false">
      <c r="A36" s="24" t="s">
        <v>279</v>
      </c>
    </row>
    <row r="38" customFormat="false" ht="15" hidden="false" customHeight="true" outlineLevel="0" collapsed="false">
      <c r="A38" s="23" t="s">
        <v>280</v>
      </c>
    </row>
    <row r="39" customFormat="false" ht="15" hidden="false" customHeight="true" outlineLevel="0" collapsed="false">
      <c r="A39" s="24" t="s">
        <v>281</v>
      </c>
    </row>
    <row r="40" customFormat="false" ht="15" hidden="false" customHeight="true" outlineLevel="0" collapsed="false">
      <c r="A40" s="24" t="s">
        <v>282</v>
      </c>
    </row>
    <row r="41" customFormat="false" ht="15" hidden="false" customHeight="true" outlineLevel="0" collapsed="false">
      <c r="A41" s="24" t="s">
        <v>283</v>
      </c>
    </row>
    <row r="42" customFormat="false" ht="15" hidden="false" customHeight="true" outlineLevel="0" collapsed="false">
      <c r="A42" s="24" t="s">
        <v>284</v>
      </c>
    </row>
    <row r="43" customFormat="false" ht="15" hidden="false" customHeight="true" outlineLevel="0" collapsed="false">
      <c r="A43" s="24" t="s">
        <v>285</v>
      </c>
    </row>
    <row r="44" customFormat="false" ht="15" hidden="false" customHeight="true" outlineLevel="0" collapsed="false">
      <c r="A44" s="24" t="s">
        <v>286</v>
      </c>
    </row>
    <row r="45" customFormat="false" ht="15" hidden="false" customHeight="true" outlineLevel="0" collapsed="false">
      <c r="A45" s="24" t="s">
        <v>287</v>
      </c>
    </row>
    <row r="47" customFormat="false" ht="15" hidden="false" customHeight="true" outlineLevel="0" collapsed="false">
      <c r="A47" s="23" t="s">
        <v>288</v>
      </c>
    </row>
    <row r="48" customFormat="false" ht="15" hidden="false" customHeight="true" outlineLevel="0" collapsed="false">
      <c r="A48" s="24" t="s">
        <v>289</v>
      </c>
    </row>
    <row r="49" customFormat="false" ht="15" hidden="false" customHeight="true" outlineLevel="0" collapsed="false">
      <c r="A49" s="24" t="s">
        <v>290</v>
      </c>
    </row>
    <row r="50" customFormat="false" ht="15" hidden="false" customHeight="true" outlineLevel="0" collapsed="false">
      <c r="A50" s="24" t="s">
        <v>291</v>
      </c>
    </row>
    <row r="51" customFormat="false" ht="15" hidden="false" customHeight="true" outlineLevel="0" collapsed="false">
      <c r="A51" s="24" t="s">
        <v>292</v>
      </c>
    </row>
    <row r="53" customFormat="false" ht="15" hidden="false" customHeight="true" outlineLevel="0" collapsed="false">
      <c r="A53" s="23" t="s">
        <v>293</v>
      </c>
    </row>
    <row r="54" customFormat="false" ht="15" hidden="false" customHeight="true" outlineLevel="0" collapsed="false">
      <c r="A54" s="24" t="s">
        <v>294</v>
      </c>
    </row>
    <row r="55" customFormat="false" ht="15" hidden="false" customHeight="true" outlineLevel="0" collapsed="false">
      <c r="A55" s="24" t="s">
        <v>295</v>
      </c>
    </row>
    <row r="56" customFormat="false" ht="15" hidden="false" customHeight="true" outlineLevel="0" collapsed="false">
      <c r="A56" s="24" t="s">
        <v>296</v>
      </c>
    </row>
    <row r="57" customFormat="false" ht="15" hidden="false" customHeight="true" outlineLevel="0" collapsed="false">
      <c r="A57" s="24" t="s">
        <v>297</v>
      </c>
    </row>
    <row r="58" customFormat="false" ht="15" hidden="false" customHeight="true" outlineLevel="0" collapsed="false">
      <c r="A58" s="24" t="s">
        <v>298</v>
      </c>
    </row>
    <row r="59" customFormat="false" ht="15" hidden="false" customHeight="true" outlineLevel="0" collapsed="false">
      <c r="A59" s="24" t="s">
        <v>299</v>
      </c>
    </row>
    <row r="60" customFormat="false" ht="15" hidden="false" customHeight="true" outlineLevel="0" collapsed="false">
      <c r="A60" s="23" t="s">
        <v>300</v>
      </c>
    </row>
    <row r="61" customFormat="false" ht="15" hidden="false" customHeight="true" outlineLevel="0" collapsed="false">
      <c r="A61" s="24" t="s">
        <v>301</v>
      </c>
    </row>
    <row r="62" customFormat="false" ht="15" hidden="false" customHeight="true" outlineLevel="0" collapsed="false">
      <c r="A62" s="24" t="s">
        <v>302</v>
      </c>
    </row>
    <row r="63" customFormat="false" ht="15" hidden="false" customHeight="true" outlineLevel="0" collapsed="false">
      <c r="A63" s="24" t="s">
        <v>303</v>
      </c>
    </row>
    <row r="64" customFormat="false" ht="15" hidden="false" customHeight="true" outlineLevel="0" collapsed="false">
      <c r="A64" s="24" t="s">
        <v>304</v>
      </c>
    </row>
    <row r="66" customFormat="false" ht="15" hidden="false" customHeight="true" outlineLevel="0" collapsed="false">
      <c r="A66" s="23" t="s">
        <v>305</v>
      </c>
    </row>
    <row r="67" customFormat="false" ht="15" hidden="false" customHeight="true" outlineLevel="0" collapsed="false">
      <c r="A67" s="24" t="s">
        <v>306</v>
      </c>
    </row>
    <row r="68" customFormat="false" ht="15" hidden="false" customHeight="true" outlineLevel="0" collapsed="false">
      <c r="A68" s="24" t="s">
        <v>307</v>
      </c>
    </row>
    <row r="69" customFormat="false" ht="15" hidden="false" customHeight="true" outlineLevel="0" collapsed="false">
      <c r="A69" s="24" t="s">
        <v>308</v>
      </c>
    </row>
    <row r="70" customFormat="false" ht="15" hidden="false" customHeight="true" outlineLevel="0" collapsed="false">
      <c r="A70" s="24" t="s">
        <v>309</v>
      </c>
    </row>
    <row r="71" customFormat="false" ht="15" hidden="false" customHeight="true" outlineLevel="0" collapsed="false">
      <c r="A71" s="24" t="s">
        <v>310</v>
      </c>
    </row>
    <row r="72" customFormat="false" ht="15" hidden="false" customHeight="true" outlineLevel="0" collapsed="false">
      <c r="A72" s="24" t="s">
        <v>311</v>
      </c>
    </row>
    <row r="74" customFormat="false" ht="15" hidden="false" customHeight="true" outlineLevel="0" collapsed="false">
      <c r="A74" s="23" t="s">
        <v>312</v>
      </c>
    </row>
    <row r="75" customFormat="false" ht="15" hidden="false" customHeight="true" outlineLevel="0" collapsed="false">
      <c r="A75" s="24" t="s">
        <v>313</v>
      </c>
    </row>
    <row r="76" customFormat="false" ht="15" hidden="false" customHeight="true" outlineLevel="0" collapsed="false">
      <c r="A76" s="24" t="s">
        <v>314</v>
      </c>
    </row>
    <row r="77" customFormat="false" ht="15" hidden="false" customHeight="true" outlineLevel="0" collapsed="false">
      <c r="A77" s="24" t="s">
        <v>315</v>
      </c>
    </row>
    <row r="78" customFormat="false" ht="15" hidden="false" customHeight="true" outlineLevel="0" collapsed="false">
      <c r="A78" s="24" t="s">
        <v>316</v>
      </c>
    </row>
    <row r="80" customFormat="false" ht="15" hidden="false" customHeight="true" outlineLevel="0" collapsed="false">
      <c r="A80" s="23" t="s">
        <v>317</v>
      </c>
    </row>
    <row r="81" customFormat="false" ht="15" hidden="false" customHeight="true" outlineLevel="0" collapsed="false">
      <c r="A81" s="24" t="s">
        <v>318</v>
      </c>
    </row>
    <row r="82" customFormat="false" ht="15" hidden="false" customHeight="true" outlineLevel="0" collapsed="false">
      <c r="A82" s="24" t="s">
        <v>319</v>
      </c>
    </row>
    <row r="83" customFormat="false" ht="15" hidden="false" customHeight="true" outlineLevel="0" collapsed="false">
      <c r="A83" s="24" t="s">
        <v>320</v>
      </c>
    </row>
    <row r="84" customFormat="false" ht="15" hidden="false" customHeight="true" outlineLevel="0" collapsed="false">
      <c r="A84" s="24" t="s">
        <v>321</v>
      </c>
    </row>
    <row r="85" customFormat="false" ht="15" hidden="false" customHeight="true" outlineLevel="0" collapsed="false">
      <c r="A85" s="24" t="s">
        <v>322</v>
      </c>
    </row>
    <row r="86" customFormat="false" ht="15" hidden="false" customHeight="true" outlineLevel="0" collapsed="false">
      <c r="A86" s="24" t="s">
        <v>323</v>
      </c>
    </row>
    <row r="87" customFormat="false" ht="15" hidden="false" customHeight="true" outlineLevel="0" collapsed="false">
      <c r="A87" s="24" t="s">
        <v>324</v>
      </c>
    </row>
    <row r="88" customFormat="false" ht="15" hidden="false" customHeight="true" outlineLevel="0" collapsed="false">
      <c r="A88" s="24" t="s">
        <v>325</v>
      </c>
    </row>
    <row r="89" customFormat="false" ht="15" hidden="false" customHeight="false" outlineLevel="0" collapsed="false">
      <c r="A89" s="24" t="s">
        <v>326</v>
      </c>
    </row>
    <row r="90" customFormat="false" ht="15" hidden="false" customHeight="false" outlineLevel="0" collapsed="false">
      <c r="A90" s="24" t="s">
        <v>327</v>
      </c>
    </row>
    <row r="91" customFormat="false" ht="15" hidden="false" customHeight="false" outlineLevel="0" collapsed="false">
      <c r="A91" s="24" t="s">
        <v>328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329</v>
      </c>
    </row>
    <row r="4" customFormat="false" ht="14.25" hidden="false" customHeight="true" outlineLevel="0" collapsed="false">
      <c r="A4" s="4" t="s">
        <v>330</v>
      </c>
      <c r="B4" s="4" t="s">
        <v>331</v>
      </c>
      <c r="C4" s="4" t="s">
        <v>260</v>
      </c>
      <c r="D4" s="4" t="s">
        <v>332</v>
      </c>
      <c r="E4" s="4" t="s">
        <v>333</v>
      </c>
    </row>
    <row r="5" customFormat="false" ht="14.25" hidden="false" customHeight="true" outlineLevel="0" collapsed="false">
      <c r="A5" s="25" t="s">
        <v>20</v>
      </c>
      <c r="B5" s="6" t="s">
        <v>334</v>
      </c>
      <c r="C5" s="5" t="n">
        <f aca="false">COUNTIF('Product Backlog'!$H$5:$H$47,A5)</f>
        <v>12</v>
      </c>
      <c r="D5" s="5" t="n">
        <f aca="false">SUMIF('Product Backlog'!$H$5:$H$47,A5,'Product Backlog'!$G$5:$G$47)</f>
        <v>43</v>
      </c>
      <c r="E5" s="15" t="n">
        <f aca="false">IF(SUM($D$5:$D$8)=0,0,D5/SUM($D$5:$D$8))</f>
        <v>0.273885350318471</v>
      </c>
    </row>
    <row r="6" customFormat="false" ht="14.25" hidden="false" customHeight="true" outlineLevel="0" collapsed="false">
      <c r="A6" s="13" t="s">
        <v>94</v>
      </c>
      <c r="B6" s="6" t="s">
        <v>335</v>
      </c>
      <c r="C6" s="5" t="n">
        <f aca="false">COUNTIF('Product Backlog'!$H$5:$H$47,A6)</f>
        <v>6</v>
      </c>
      <c r="D6" s="5" t="n">
        <f aca="false">SUMIF('Product Backlog'!$H$5:$H$47,A6,'Product Backlog'!$G$5:$G$47)</f>
        <v>19</v>
      </c>
      <c r="E6" s="15" t="n">
        <f aca="false">IF(SUM($D$5:$D$8)=0,0,D6/SUM($D$5:$D$8))</f>
        <v>0.121019108280255</v>
      </c>
    </row>
    <row r="7" customFormat="false" ht="14.25" hidden="false" customHeight="true" outlineLevel="0" collapsed="false">
      <c r="A7" s="17" t="s">
        <v>113</v>
      </c>
      <c r="B7" s="6" t="s">
        <v>336</v>
      </c>
      <c r="C7" s="5" t="n">
        <f aca="false">COUNTIF('Product Backlog'!$H$5:$H$47,A7)</f>
        <v>2</v>
      </c>
      <c r="D7" s="5" t="n">
        <f aca="false">SUMIF('Product Backlog'!$H$5:$H$47,A7,'Product Backlog'!$G$5:$G$47)</f>
        <v>5</v>
      </c>
      <c r="E7" s="15" t="n">
        <f aca="false">IF(SUM($D$5:$D$8)=0,0,D7/SUM($D$5:$D$8))</f>
        <v>0.0318471337579618</v>
      </c>
    </row>
    <row r="8" customFormat="false" ht="14.25" hidden="false" customHeight="true" outlineLevel="0" collapsed="false">
      <c r="A8" s="26" t="s">
        <v>138</v>
      </c>
      <c r="B8" s="6" t="s">
        <v>337</v>
      </c>
      <c r="C8" s="5" t="n">
        <f aca="false">COUNTIF('Product Backlog'!$H$5:$H$47,A8)</f>
        <v>22</v>
      </c>
      <c r="D8" s="5" t="n">
        <f aca="false">SUMIF('Product Backlog'!$H$5:$H$47,A8,'Product Backlog'!$G$5:$G$47)</f>
        <v>90</v>
      </c>
      <c r="E8" s="15" t="n">
        <f aca="false">IF(SUM($D$5:$D$8)=0,0,D8/SUM($D$5:$D$8))</f>
        <v>0.573248407643312</v>
      </c>
    </row>
    <row r="9" customFormat="false" ht="14.25" hidden="false" customHeight="true" outlineLevel="0" collapsed="false">
      <c r="A9" s="9" t="s">
        <v>271</v>
      </c>
      <c r="C9" s="27" t="n">
        <f aca="false">SUM(C5:C8)</f>
        <v>42</v>
      </c>
      <c r="D9" s="27" t="n">
        <f aca="false">SUM(D5:D8)</f>
        <v>157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2026-10-23T16:11:34Z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