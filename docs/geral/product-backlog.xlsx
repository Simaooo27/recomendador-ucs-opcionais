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Plano de sprints" sheetId="2" state="visible" r:id="rId4"/>
    <sheet name="Resumo MoSCoW" sheetId="3" state="visible" r:id="rId5"/>
    <sheet name="Arquivo (opcionais)" sheetId="4" state="visible" r:id="rId6"/>
  </sheets>
  <definedNames>
    <definedName function="false" hidden="true" localSheetId="3" name="_xlnm._FilterDatabase" vbProcedure="false">'Arquivo (opcionais)'!$A$4:$H$27</definedName>
    <definedName function="false" hidden="false" localSheetId="0" name="_xlnm.Print_Titles" vbProcedure="false">'Product Backlog'!$4:$4</definedName>
    <definedName function="false" hidden="true" localSheetId="0" name="_xlnm._FilterDatabase" vbProcedure="false">'Product Backlog'!$A$4:$M$29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Story points em escala de Fibonacci (estimativa relativa de esforço, feita pela equipa de desenvolvimento).</t>
        </r>
      </text>
    </comment>
    <comment ref="M4" authorId="0">
      <text>
        <r>
          <rPr>
            <sz val="10"/>
            <rFont val="Arial"/>
            <family val="2"/>
          </rPr>
          <t xml:space="preserve">Número da story antes da renumeração de 07/10/2026 (é o que aparece no relatório Word e no histórico do GitHub até essa data).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Estimativa inicial da equipa (relatório, secção 11). Rever na Sprint Review com a velocidade real.</t>
        </r>
      </text>
    </comment>
  </commentList>
</comments>
</file>

<file path=xl/sharedStrings.xml><?xml version="1.0" encoding="utf-8"?>
<sst xmlns="http://schemas.openxmlformats.org/spreadsheetml/2006/main" count="553" uniqueCount="382">
  <si>
    <t xml:space="preserve">Product Backlog — OptaBem (recomendador de cursos e plano de candidatura)</t>
  </si>
  <si>
    <t xml:space="preserve">Ordenado pela ordem de trabalho (sprint e prioridade). Células a amarelo são para a equipa atualizar (Sprint, Estado, Responsável, SP, Notas). Reestruturado a 27/10/2026, com autorização do docente: o backlog passa a ser só o de um recomendador de cursos; as stories das opcionais estão na folha «Arquivo (opcionais)». Os IDs não mudam nem são reutilizados. Estado «Protótipo» = código feito antes do sprint, ainda não aceite numa Sprint Review. Épicos: E1 Conta e privacidade · E2 Catálogo de cursos · E3 Orientação com o assistente · E4 Plano de candidatura. O histórico de replaneamentos está na folha «Plano de sprints».</t>
  </si>
  <si>
    <t xml:space="preserve">#</t>
  </si>
  <si>
    <t xml:space="preserve">ID</t>
  </si>
  <si>
    <t xml:space="preserve">Épico</t>
  </si>
  <si>
    <t xml:space="preserve">Título</t>
  </si>
  <si>
    <t xml:space="preserve">User story</t>
  </si>
  <si>
    <t xml:space="preserve">Critérios de aceitação</t>
  </si>
  <si>
    <t xml:space="preserve">SP</t>
  </si>
  <si>
    <t xml:space="preserve">MoSCoW</t>
  </si>
  <si>
    <t xml:space="preserve">Sprint</t>
  </si>
  <si>
    <t xml:space="preserve">Estado</t>
  </si>
  <si>
    <t xml:space="preserve">Responsável</t>
  </si>
  <si>
    <t xml:space="preserve">Notas</t>
  </si>
  <si>
    <t xml:space="preserve">ID anterior</t>
  </si>
  <si>
    <t xml:space="preserve">US01</t>
  </si>
  <si>
    <t xml:space="preserve">E1</t>
  </si>
  <si>
    <t xml:space="preserve">Registo com email pessoal</t>
  </si>
  <si>
    <t xml:space="preserve">Como aluno, quero registar-me com o meu email pessoal.</t>
  </si>
  <si>
    <t xml:space="preserve">• São aceites emails pessoais
• A conta só fica ativa após confirmação por email (ou validação simulada em ambiente de teste).
• A palavra-passe é guardada com hash.
• O registo exige aceitação explícita da política de privacidade.</t>
  </si>
  <si>
    <t xml:space="preserve">Must</t>
  </si>
  <si>
    <t xml:space="preserve">Sprint 1</t>
  </si>
  <si>
    <t xml:space="preserve">Feito</t>
  </si>
  <si>
    <t xml:space="preserve">Feita no Sprint 1 (PR #1 a #3). Desde 23/10 o registo pede também o nome (PR #43). docs/US01/.</t>
  </si>
  <si>
    <t xml:space="preserve">US02</t>
  </si>
  <si>
    <t xml:space="preserve">Autenticação</t>
  </si>
  <si>
    <t xml:space="preserve">Como aluno, quero iniciar e terminar sessão, para aceder ao meu percurso de forma segura.</t>
  </si>
  <si>
    <t xml:space="preserve">• Login com email e palavra-passe.
• Mensagem genérica em caso de erro.
• O logout termina a sessão.
• Páginas privadas redirecionam para o login.</t>
  </si>
  <si>
    <t xml:space="preserve">Feita no Sprint 1 (PR #4 e #5). Terminar sessão volta à página inicial (PR #43). docs/US02/.</t>
  </si>
  <si>
    <t xml:space="preserve">US03</t>
  </si>
  <si>
    <t xml:space="preserve">Perfis de aluno e administrador</t>
  </si>
  <si>
    <t xml:space="preserve">Como administrador, quero ter uma conta própria, separada das contas dos alunos e numa área escondida, para gerir a aplicação sem que os alunos vejam ou consigam usar essas funções.</t>
  </si>
  <si>
    <t xml:space="preserve">• Os administradores têm contas próprias (nome de utilizador, sem email), separadas dos alunos.
• O primeiro administrador é criado no terminal (flask --app app create-admin).
• A gestão tem início de sessão próprio, com mensagem genérica.
• A área de gestão está escondida: sem ligações nas páginas dos alunos e com endereço configurável.
• Um administrador cria e remove outros administradores (não a si próprio).</t>
  </si>
  <si>
    <t xml:space="preserve">Feita no Sprint 1 (PR #7). Um só início de sessão desde 14/10, com Strategy, Chain of Responsibility e Factory (PR #14). A gestão ativa contas por confirmar (PR #43). docs/US03/.</t>
  </si>
  <si>
    <t xml:space="preserve">—</t>
  </si>
  <si>
    <t xml:space="preserve">US29</t>
  </si>
  <si>
    <t xml:space="preserve">E3</t>
  </si>
  <si>
    <t xml:space="preserve">Conversa de orientação com o LLM</t>
  </si>
  <si>
    <t xml:space="preserve">Como pessoa indecisa, quero conversar com um assistente que me vai fazendo perguntas sobre os meus interesses, para perceber o que procuro num curso sem preencher um questionário fixo.</t>
  </si>
  <si>
    <t xml:space="preserve">• As perguntas não são fixas: o LLM faz uma de cada vez, a partir das respostas anteriores, no máximo 6.
• A página avisa para não escrever dados pessoais; emails e números longos são apagados antes de enviar, e o LLM nunca recebe email, nome ou identificadores da conta (RNF12).
• Disponível com sessão iniciada (o limite diário do fornecedor é partilhado por todos os utilizadores).
• Se o LLM falhar, atingir o limite ou demorar mais de 15 s, aparece uma mensagem clara e a pessoa pode tentar de novo sem perder a conversa.
• A pessoa pode recomeçar a conversa.
• Os testes usam o LLM falso e correm sem rede.</t>
  </si>
  <si>
    <t xml:space="preserve">Sprint 2</t>
  </si>
  <si>
    <t xml:space="preserve">Feita no Sprint 2 (PR #19 e #24). Absorveu a US32 a 14/10 (issue #15). Gemini, com Groq de reserva (spike, PR #17). docs/US29/.</t>
  </si>
  <si>
    <t xml:space="preserve">US30</t>
  </si>
  <si>
    <t xml:space="preserve">Sugestão de 2 a 3 cursos no fim da conversa</t>
  </si>
  <si>
    <t xml:space="preserve">Como pessoa indecisa, quero que a conversa termine com 2 a 3 cursos do catálogo, cada um com a explicação de porque combina comigo, para saber por onde começar.</t>
  </si>
  <si>
    <t xml:space="preserve">• A sugestão aparece quando o LLM tem informação suficiente ou ao fim de 6 respostas; a pessoa pode pedi-la antes («Ver sugestões»).
• Só aparecem cursos do catálogo; os outros são descartados (RN09). Se sobrarem menos de 2, a página diz isso e propõe continuar a conversa ou ver o catálogo.
• Cada curso mostra os dados do catálogo (instituição, localidade, vagas, nota do último colocado, ligação à DGES) e a explicação do LLM.
• Nenhum curso é atribuído automaticamente: a escolha é feita na US31 (RN10).
• Os testes usam o LLM falso, incluindo respostas com cursos inventados.</t>
  </si>
  <si>
    <t xml:space="preserve">Feita no Sprint 2 (PR #22 e #23). docs/US30/.</t>
  </si>
  <si>
    <t xml:space="preserve">US31</t>
  </si>
  <si>
    <t xml:space="preserve">Escolher curso e linha do tempo do percurso</t>
  </si>
  <si>
    <t xml:space="preserve">Como utilizador, quero escolher um dos cursos sugeridos (ou outro do catálogo) e ver as decisões que fui tomando, para acompanhar o meu percurso.</t>
  </si>
  <si>
    <t xml:space="preserve">• A escolha nunca é automática: o utilizador confirma (RN10).
• Depois de escolher, o curso e a instituição ficam no perfil (RF03).
• Cada decisão fica registada com data, opções sugeridas e opção escolhida (RF35).
• Linha do tempo com as decisões, da mais recente para a mais antiga.
• O utilizador pode mudar de curso, o que cria uma nova decisão.</t>
  </si>
  <si>
    <t xml:space="preserve">Feita no Sprint 2 (issue #27). Depois da escolha, a conversa com o LLM é apagada. Fora do menu desde 23/10 (continua no início e em «A minha conta»). docs/US31/.</t>
  </si>
  <si>
    <t xml:space="preserve">US05</t>
  </si>
  <si>
    <t xml:space="preserve">E2</t>
  </si>
  <si>
    <t xml:space="preserve">Consultar e comparar cursos</t>
  </si>
  <si>
    <t xml:space="preserve">Como pessoa indecisa, quero consultar e comparar cursos de várias instituições, para perceber as diferenças antes de decidir.</t>
  </si>
  <si>
    <t xml:space="preserve">• Filtros por área, instituição e localidade.
• Ficha de cada curso com descrição, saídas profissionais, vagas, nota do último colocado e ligação à fonte.
• Comparação de até 3 cursos lado a lado.
• Funciona sem sessão iniciada.</t>
  </si>
  <si>
    <t xml:space="preserve">Sprint 3</t>
  </si>
  <si>
    <t xml:space="preserve">Feita no Sprint 3 (PR #37, #38 e #42). docs/US05/.</t>
  </si>
  <si>
    <t xml:space="preserve">US04</t>
  </si>
  <si>
    <t xml:space="preserve">US17</t>
  </si>
  <si>
    <t xml:space="preserve">Apagar a minha conta</t>
  </si>
  <si>
    <t xml:space="preserve">Como aluno, quero apagar a minha conta e todos os meus dados, para exercer o meu direito ao apagamento.</t>
  </si>
  <si>
    <t xml:space="preserve">• Apagar remove a conta, a conversa de orientação, as decisões do percurso e os pedidos ao LLM.
• A ação pede confirmação (palavra-passe).
• A sessão termina e a página confirma que os dados foram apagados.</t>
  </si>
  <si>
    <t xml:space="preserve">Feita no Sprint 3 (PR #39). Âmbito reduzido a 22/10: a exportação passou a ser a US46. docs/US17/.</t>
  </si>
  <si>
    <t xml:space="preserve">US10</t>
  </si>
  <si>
    <t xml:space="preserve">Catálogo de licenciaturas recolhido da DGES</t>
  </si>
  <si>
    <t xml:space="preserve">Como pessoa indecisa, quero procurar num catálogo de licenciaturas recolhido da DGES, e não só numa amostra escrita à mão, para ver cursos de muitas instituições com dados oficiais.</t>
  </si>
  <si>
    <t xml:space="preserve">• Os cursos vêm das páginas públicas da DGES, por um script que corre no computador da equipa (dados/recolher_dges.py), devagar e retomável.
• O catálogo tem os cursos já recolhidos (174 no protótipo), com vagas, nota do último colocado e condições de acesso.
• As descrições escritas pela equipa (catálogo do MVP) mantêm-se.
• Lista de cursos com paginação (24 por página).
• Acima de 150 cursos, o assistente (LLM) recebe só os cursos das áreas escolhidas.</t>
  </si>
  <si>
    <t xml:space="preserve">Sprint 4</t>
  </si>
  <si>
    <t xml:space="preserve">Protótipo</t>
  </si>
  <si>
    <t xml:space="preserve">Protótipo no PR #44 (ramo feature/US04-catalogo-completo): 174 cursos com condições de acesso. 27/10 (decisão do PO): a recolha de todas as licenciaturas passa para a US48, porque exige o computador ligado uma noite inteira. Documentação em docs/US04/ (27/10).</t>
  </si>
  <si>
    <t xml:space="preserve">US33</t>
  </si>
  <si>
    <t xml:space="preserve">E4</t>
  </si>
  <si>
    <t xml:space="preserve">Condições de acesso na ficha do curso</t>
  </si>
  <si>
    <t xml:space="preserve">Como pessoa a escolher curso, quero ver na ficha de cada curso as provas de ingresso, a fórmula de cálculo, as classificações mínimas e os pré-requisitos, para saber o que é preciso para entrar.</t>
  </si>
  <si>
    <t xml:space="preserve">• Dados lidos das páginas da DGES (a mesma recolha da US04).
• Conjuntos alternativos de provas mostrados pelo nome («Basta um destes conjuntos»).
• Fórmula (peso da média e das provas) e mínimos em pontos.
• Um curso sem estes dados mostra a ligação à DGES.
• Funciona sem sessão iniciada.</t>
  </si>
  <si>
    <t xml:space="preserve">Protótipo no PR #44, feito antes do sprint (23/10). Documentação em docs/US33/ (27/10).</t>
  </si>
  <si>
    <t xml:space="preserve">nova</t>
  </si>
  <si>
    <t xml:space="preserve">US34</t>
  </si>
  <si>
    <t xml:space="preserve">Registar as minhas notas</t>
  </si>
  <si>
    <t xml:space="preserve">Como candidato, quero indicar a minha média do secundário e as notas dos exames nacionais que fiz, para o OptaBem fazer as contas por mim.</t>
  </si>
  <si>
    <t xml:space="preserve">• Média de 9,5 a 20 valores; exames de 0 a 200 pontos (ou de 0 a 20, convertidos).
• Só se preenchem os exames feitos.
• As notas podem ser mudadas e saem com a conta (US17).
• Matemática e Matemática A contam com o mesmo exame (a confirmar pela equipa na DGES).</t>
  </si>
  <si>
    <t xml:space="preserve">Protótipo no PR #44, feito antes do sprint (23/10). Documentação em docs/US34/ (27/10). A equipa confirma na DGES se Matemática e Matemática A contam como o mesmo exame.</t>
  </si>
  <si>
    <t xml:space="preserve">US35</t>
  </si>
  <si>
    <t xml:space="preserve">Nota de candidatura a cada curso</t>
  </si>
  <si>
    <t xml:space="preserve">Como candidato, quero ver a minha nota de candidatura a cada curso e a diferença para o último colocado, para perceber onde tenho hipóteses.</t>
  </si>
  <si>
    <t xml:space="preserve">• Nota = média do secundário × peso + provas × peso, com o conjunto de provas mais favorável.
• Situação: acima (5 ou mais pontos), perto (menos de 5 de diferença) ou abaixo do último colocado; falta de prova e nota abaixo do mínimo assinaladas.
• Aparece na ficha de cada curso, com sessão iniciada.
• Aviso visível: estimativa para o contingente geral da 1.ª fase, não uma garantia.</t>
  </si>
  <si>
    <t xml:space="preserve">Protótipo no PR #44, feito antes do sprint (23/10). Documentação em docs/US35/ (27/10). Contas em app/candidatura/calculos.py.</t>
  </si>
  <si>
    <t xml:space="preserve">US36</t>
  </si>
  <si>
    <t xml:space="preserve">Plano das 6 opções de candidatura</t>
  </si>
  <si>
    <t xml:space="preserve">Como candidato, quero montar e ordenar a minha lista de até 6 opções, com avisos, para submeter na DGES uma candidatura equilibrada.</t>
  </si>
  <si>
    <t xml:space="preserve">• Juntar cursos a partir da ficha; no máximo 6, sem repetidos.
• Subir, descer e retirar opções (funciona sem JavaScript).
• Avisos: opções que não contam, nenhuma opção segura, a mais fácil em 1.º lugar, menos de 6 opções, pré-requisitos.
• Sugestões de cursos da mesma área onde a pessoa fica acima ou perto.
• Passo «Preparar a candidatura» no percurso do início.</t>
  </si>
  <si>
    <t xml:space="preserve">Should</t>
  </si>
  <si>
    <t xml:space="preserve">Protótipo no PR #44, feito antes do sprint (23/10). Documentação em docs/US36/ (27/10). O OptaBem ajuda a preparar a candidatura, não a submete. Se o Sprint 4 for demais, é a primeira a sair.</t>
  </si>
  <si>
    <t xml:space="preserve">US40</t>
  </si>
  <si>
    <t xml:space="preserve">Quanto preciso no exame?</t>
  </si>
  <si>
    <t xml:space="preserve">Como candidato, quero saber que nota preciso nos exames que ainda não fiz para chegar ao último colocado de um curso, para saber quanto tenho de estudar.</t>
  </si>
  <si>
    <t xml:space="preserve">• Na ficha do curso, com a média do secundário indicada.
• Usa os exames já feitos e escolhe o conjunto de provas em que é mais fácil lá chegar.
• Respeita o mínimo de cada prova; sem último colocado, usa a nota mínima do curso.
• Diz quando nem 200 pontos chegam.
• No plano, as opções a que falta uma prova mostram quanto precisa.</t>
  </si>
  <si>
    <t xml:space="preserve">Backlog</t>
  </si>
  <si>
    <t xml:space="preserve">Código pronto no PR #44 (protótipo de 23/10, ideia proposta pelo Claude e aceite pelo PO). Fica no backlog porque o Sprint 4 já passa a velocidade; é aceite numa Sprint Review se houver folga.</t>
  </si>
  <si>
    <t xml:space="preserve">US41</t>
  </si>
  <si>
    <t xml:space="preserve">Tendência do último colocado</t>
  </si>
  <si>
    <t xml:space="preserve">Como candidato, quero ver como a nota do último colocado mudou de 2023 a 2025, para perceber se um curso está a ficar mais difícil de entrar.</t>
  </si>
  <si>
    <t xml:space="preserve">• Notas da 1.ª fase de 2023, 2024 e 2025 (DGES) na ficha do curso.
• Etiqueta «A subir», «A descer» ou «Estável» (3 pontos de margem entre o primeiro e o último ano).
• A etiqueta aparece também em cada opção do plano.</t>
  </si>
  <si>
    <t xml:space="preserve">US42</t>
  </si>
  <si>
    <t xml:space="preserve">Procura do curso</t>
  </si>
  <si>
    <t xml:space="preserve">Como candidato, quero ver quantas pessoas concorreram a um curso e quantas o puseram em 1.ª opção, para perceber o risco da minha escolha.</t>
  </si>
  <si>
    <t xml:space="preserve">• Candidatos, candidatos em 1.ª opção, vagas e colocados da 1.ª fase de 2025 (DGES), na ficha do curso.
• Etiqueta: «Sobraram vagas», «Muito procurado» (1,5 ou mais em 1.ª opção por vaga), «Procurado» (0,75 a 1,5) ou «Pouco escolhido em 1.ª opção».</t>
  </si>
  <si>
    <t xml:space="preserve">US44</t>
  </si>
  <si>
    <t xml:space="preserve">Que exames me abrem mais portas?</t>
  </si>
  <si>
    <t xml:space="preserve">Como candidato, quero saber que combinação de exames nacionais me deixa concorrer a mais cursos do meu plano, para decidir que exames fazer.</t>
  </si>
  <si>
    <t xml:space="preserve">• Combinações de até 3 exames, a partir dos conjuntos de provas das opções do plano (2 ou mais opções).
• Mostra as 3 melhores: a que serve para mais opções primeiro, depois a com menos exames.
• Diz para que opções não dá e que exames da combinação a pessoa já fez.
• Matemática e Matemática A contam como o mesmo exame.</t>
  </si>
  <si>
    <t xml:space="preserve">US37</t>
  </si>
  <si>
    <t xml:space="preserve">Assistente que conhece as minhas notas</t>
  </si>
  <si>
    <t xml:space="preserve">Como pessoa indecisa, quero que o assistente tenha em conta as provas que fiz e a minha nota, para não me sugerir cursos a que não posso concorrer.</t>
  </si>
  <si>
    <t xml:space="preserve">• Só com autorização da pessoa, o LLM recebe as provas feitas e um intervalo de nota (nunca a média exata, RNF12).
• Cursos a que falta uma prova não são sugeridos, ou vêm assinalados.
• Os testes usam o LLM falso.</t>
  </si>
  <si>
    <t xml:space="preserve">Por fazer</t>
  </si>
  <si>
    <t xml:space="preserve">Os termos do Gemini excluem menores de 18, e muitos candidatos têm 17 anos (ponto 14 dos requisitos).</t>
  </si>
  <si>
    <t xml:space="preserve">US46</t>
  </si>
  <si>
    <t xml:space="preserve">Exportar os meus dados</t>
  </si>
  <si>
    <t xml:space="preserve">Como utilizador, quero descarregar todos os dados que o OptaBem guarda sobre mim, para exercer o meu direito de acesso e de portabilidade.</t>
  </si>
  <si>
    <t xml:space="preserve">• Ficheiro JSON com a conta (sem a palavra-passe), as decisões do percurso, as notas e o plano de candidatura.
• Pede a palavra-passe antes de descarregar.
• Nunca inclui dados de outros utilizadores.</t>
  </si>
  <si>
    <t xml:space="preserve">27/10: story nova, com a parte do RF17 que saiu da US17 a 22/10 (RNF01, RGPD).</t>
  </si>
  <si>
    <t xml:space="preserve">US47</t>
  </si>
  <si>
    <t xml:space="preserve">Recuperar a palavra-passe</t>
  </si>
  <si>
    <t xml:space="preserve">Como utilizador que se esqueceu da palavra-passe, quero receber uma ligação para definir uma nova, para não perder a conta.</t>
  </si>
  <si>
    <t xml:space="preserve">• Ligação de uso único, que expira ao fim de 1 hora.
• A mensagem é a mesma quer a conta exista quer não.
• Depois de mudar a palavra-passe, as sessões abertas terminam.</t>
  </si>
  <si>
    <t xml:space="preserve">27/10: story nova, para a parte do RF02 que não tinha story. Precisa de o site enviar emails reais (hoje não envia).</t>
  </si>
  <si>
    <t xml:space="preserve">US48</t>
  </si>
  <si>
    <t xml:space="preserve">Recolha completa das licenciaturas (DGES)</t>
  </si>
  <si>
    <t xml:space="preserve">Como pessoa indecisa, quero que o catálogo tenha todas as licenciaturas e mestrados integrados do concurso nacional, para não deixar de fora um curso que me sirva.</t>
  </si>
  <si>
    <t xml:space="preserve">• O script da US04 corre até ao fim sobre todas as instituições do concurso nacional.
• O dados/README.md diz quantos cursos ficaram e quantos não têm condições de acesso ou nota do último colocado.
• A aplicação e os testes continuam a funcionar com o catálogo completo (RNF03: páginas em menos de 2 s).</t>
  </si>
  <si>
    <t xml:space="preserve">27/10: separada da US04 (decisão do PO). O código já existe; falta correr a recolha, que exige o computador ligado uma noite inteira.</t>
  </si>
  <si>
    <t xml:space="preserve">US39</t>
  </si>
  <si>
    <t xml:space="preserve">Corrigir e esconder cursos do catálogo (gestão)</t>
  </si>
  <si>
    <t xml:space="preserve">Como administrador, quero corrigir a descrição e as saídas profissionais de um curso, ou escondê-lo, para o catálogo não ter erros sem mexer no ficheiro.</t>
  </si>
  <si>
    <t xml:space="preserve">• Só na área de gestão.
• As correções ficam na base de dados, por cima dos dados da DGES (a recolha seguinte não as apaga).
• Fica registado quem alterou e quando.
• Sem acesso aos dados dos alunos.</t>
  </si>
  <si>
    <t xml:space="preserve">Sugestão de um colega (editar a base de dados na gestão), reescrita com uma necessidade concreta: um editor genérico de tabelas daria aos administradores os dados dos alunos. Precisa do catálogo na base de dados.</t>
  </si>
  <si>
    <t xml:space="preserve">US43</t>
  </si>
  <si>
    <t xml:space="preserve">Partilhar o plano</t>
  </si>
  <si>
    <t xml:space="preserve">Como candidato, quero partilhar o meu plano com quem me ajuda a decidir (pais, explicador), com uma ligação só de leitura, para pedir opinião sem dar a minha palavra-passe.</t>
  </si>
  <si>
    <t xml:space="preserve">• Ligação com um código aleatório; quem a tem vê o plano sem iniciar sessão.
• Mostra o primeiro nome, as opções, a nota de candidatura e a situação; nunca o email, a média nem os exames.
• «Deixar de partilhar» invalida a ligação de imediato.
• A página não é indexada pelos motores de pesquisa.</t>
  </si>
  <si>
    <t xml:space="preserve">Could</t>
  </si>
  <si>
    <t xml:space="preserve">US45</t>
  </si>
  <si>
    <t xml:space="preserve">Plano B: 2.ª fase</t>
  </si>
  <si>
    <t xml:space="preserve">Como candidato, quero ver cursos das áreas do meu plano que tiveram vagas na 2.ª fase e a que a minha nota chegava, para ter uma alternativa se não entrar na 1.ª fase.</t>
  </si>
  <si>
    <t xml:space="preserve">• Vagas, colocados e último colocado da 2.ª fase de 2025 (DGES).
• Só cursos fora do plano, das mesmas áreas, onde a nota da pessoa chegava ao último colocado da 2.ª fase (ou, sem essa nota, onde sobraram vagas).
• Aviso: as vagas da 2.ª fase são as que sobram da 1.ª e mudam todos os anos.</t>
  </si>
  <si>
    <t xml:space="preserve">US38</t>
  </si>
  <si>
    <t xml:space="preserve">Datas do concurso no percurso</t>
  </si>
  <si>
    <t xml:space="preserve">Como candidato, quero ver as datas das fases do concurso nacional, para não falhar prazos.</t>
  </si>
  <si>
    <t xml:space="preserve">• Datas das 3 fases do concurso, com a ligação para a DGES.
• O passo atual do percurso mostra o próximo prazo.</t>
  </si>
  <si>
    <t xml:space="preserve">Story de 23/10, ainda sem código.</t>
  </si>
  <si>
    <t xml:space="preserve">Total de story points</t>
  </si>
  <si>
    <t xml:space="preserve">Story points concluídos (Estado = Feito)</t>
  </si>
  <si>
    <t xml:space="preserve">Nota (27/10): as 22 stories das opcionais e a US32 (fundida na US29) estão na folha «Arquivo (opcionais)», com o motivo de cada uma. As US40 a US45 têm código no PR #44 mas ficam fora do Sprint 4, para o plano não passar ainda mais a velocidade.</t>
  </si>
  <si>
    <t xml:space="preserve">Plano de sprints — OptaBem</t>
  </si>
  <si>
    <t xml:space="preserve">Calculado a partir da folha «Product Backlog»: mudar o Sprint ou o Estado de uma story lá atualiza esta tabela.</t>
  </si>
  <si>
    <t xml:space="preserve">Velocidade por sprint (SP) — real do Sprint 1</t>
  </si>
  <si>
    <t xml:space="preserve">Sprint Goal</t>
  </si>
  <si>
    <t xml:space="preserve">Stories</t>
  </si>
  <si>
    <t xml:space="preserve">SP planeados</t>
  </si>
  <si>
    <t xml:space="preserve">SP feitos</t>
  </si>
  <si>
    <t xml:space="preserve">% feito</t>
  </si>
  <si>
    <t xml:space="preserve">Folga face à velocidade</t>
  </si>
  <si>
    <t xml:space="preserve">Nº stories</t>
  </si>
  <si>
    <t xml:space="preserve">Um aluno cria conta, entra e sai, e há um administrador com permissões próprias.</t>
  </si>
  <si>
    <t xml:space="preserve">US01, US02, US03</t>
  </si>
  <si>
    <t xml:space="preserve">Uma pessoa indecisa conversa com o assistente (LLM), recebe 2 a 3 cursos do catálogo com explicação e escolhe um, ficando a decisão registada no percurso.</t>
  </si>
  <si>
    <t xml:space="preserve">US29, US30, US31</t>
  </si>
  <si>
    <t xml:space="preserve">Uma pessoa indecisa filtra, consulta e compara cursos de várias instituições, e pode apagar a sua conta e todos os seus dados (22/10 a 29/10; concluído a 23/10).</t>
  </si>
  <si>
    <t xml:space="preserve">US05, US17</t>
  </si>
  <si>
    <t xml:space="preserve">Quem escolheu um curso prepara a candidatura: vê as condições de acesso de cada curso, indica as suas notas, vê a sua nota de candidatura em cada curso e ordena as 6 opções; o catálogo passa a ter as licenciaturas da DGES (29/10 a 05/11; a confirmar com o docente).</t>
  </si>
  <si>
    <t xml:space="preserve">US04, US33–US36</t>
  </si>
  <si>
    <t xml:space="preserve">Fora desta release, por ordem de prioridade. As US40 a US45 têm código pronto no PR #44 (protótipo). As opcionais estão na folha «Arquivo (opcionais)».</t>
  </si>
  <si>
    <t xml:space="preserve">US40–US42, US44, US37, US46, US47, US48, US39, US43, US45, US38</t>
  </si>
  <si>
    <t xml:space="preserve">Total</t>
  </si>
  <si>
    <t xml:space="preserve">Replaneamento de 07/10/2026 (decisão do Product Owner)</t>
  </si>
  <si>
    <t xml:space="preserve">• O Sprint 1 tinha 24 SP planeados e a equipa concluiu 5 (registo e autenticação): o plano foi ajustado à velocidade real.</t>
  </si>
  <si>
    <t xml:space="preserve">• Story nova: US03 — Perfis de aluno e administrador (RF04, que não tinha story). Entra no Sprint 1 porque a importação do catálogo (US04) precisa de um administrador.</t>
  </si>
  <si>
    <t xml:space="preserve">• As stories do catálogo, percurso e avaliações (US04 a US08) passam do Sprint 1 para o Sprint 2, com a pseudonimização (US09) para as avaliações serem anónimas desde o início.</t>
  </si>
  <si>
    <t xml:space="preserve">• A explicação da recomendação passa para o Sprint 3; avaliação offline, períodos de avaliação, comentários e filtros para o Sprint 4.</t>
  </si>
  <si>
    <t xml:space="preserve">• Preferência de carga e comparação de estratégias passam para o Backlog; o SVD (antiga US22) fica fora do plano.</t>
  </si>
  <si>
    <t xml:space="preserve">• Escala das avaliações corrigida de 1–20 para 1–5 (igual ao resto do projeto).</t>
  </si>
  <si>
    <t xml:space="preserve">• As stories foram renumeradas pela nova ordem (US01 a US28). A coluna «ID anterior» da folha «Product Backlog» mostra o número antigo.</t>
  </si>
  <si>
    <t xml:space="preserve">Replaneamento de 13/10/2026 (decisão dos Product Owners, com sugestões do docente)</t>
  </si>
  <si>
    <t xml:space="preserve">• Nova visão do produto: o utilizador pode ainda não ter curso; o OptaBem orienta a escolha do curso e depois a das opcionais (docs/geral/00-visao-do-produto.md).</t>
  </si>
  <si>
    <t xml:space="preserve">• Catálogo com várias instituições: MVP com 12 instituições e 30 licenciaturas (dados/catalogo-cursos-mvp.csv, fonte DGES).</t>
  </si>
  <si>
    <t xml:space="preserve">• Stories novas: US29 (questionário), US30 (sugestão de cursos com LLM) e US31 (escolher curso e linha do tempo). Épico novo E11.</t>
  </si>
  <si>
    <t xml:space="preserve">• US04 e US05 passam a tratar instituições e cursos; US06 inclui a importação das UCs e passa para o Sprint 4.</t>
  </si>
  <si>
    <t xml:space="preserve">• US08, US10 e US12 a US20 passam para o Backlog; as que eram Must passam a Should nesta release.</t>
  </si>
  <si>
    <t xml:space="preserve">• A partir de 13/10 os IDs ficam fixos (stories novas recebem o número seguinte). A ordem de trabalho é a deste plano.</t>
  </si>
  <si>
    <t xml:space="preserve">• Atenção: o plano soma 13, 13 e 18 SP; a velocidade real do Sprint 1 foi 10 SP (ponto 10 da secção 5 dos requisitos).</t>
  </si>
  <si>
    <t xml:space="preserve">Revisão de 14/10/2026 (decisões dos Product Owners)</t>
  </si>
  <si>
    <t xml:space="preserve">• US03 revista: um só início de sessão para alunos e administradores (design patterns Strategy, Chain of Responsibility e Factory).</t>
  </si>
  <si>
    <t xml:space="preserve">• US05 começada antes do Sprint 2: pesquisa de cursos reais na página de apresentação. Os SP contam no Sprint 2, quando a story estiver completa.</t>
  </si>
  <si>
    <t xml:space="preserve">• Story nova US32 (assistente LLM que conversa com o utilizador), no Backlog e por avaliar: decidir âmbito, custo e privacidade antes de estimar.</t>
  </si>
  <si>
    <t xml:space="preserve">• Redesenho visual do site (sem story própria): fica registado no PR #14 e no registo de uso de IA.</t>
  </si>
  <si>
    <t xml:space="preserve">Replaneamento de 14/10/2026 (decisão do PO na issue #15)</t>
  </si>
  <si>
    <t xml:space="preserve">• As perguntas deixam de ser fixas: o LLM conduz a conversa. US29 reescrita (conversa, 5 SP) e US32 fundida nela; US30 passa a ser o fim da conversa (3 SP).</t>
  </si>
  <si>
    <t xml:space="preserve">• Spike técnico feito antes do Sprint 2 (PR #17): Gemini e Groq atrás de ClienteLLM, testes sem rede, conclusões em docs/geral/05-spike-llm.md. Não tem SP.</t>
  </si>
  <si>
    <t xml:space="preserve">• O LLM passa para o Sprint 2. Velocidade ajustada à real (de 23 para 10 SP): Sprint 2 com 8 SP (2 de folga pela tecnologia nova), Sprints 3 e 4 com 10 SP.</t>
  </si>
  <si>
    <t xml:space="preserve">• US05 passa para o Sprint 3. US04, US09 e US11 passam para o Backlog (Must → Should). A US07 guarda as avaliações com pseudo_id desde o início.</t>
  </si>
  <si>
    <t xml:space="preserve">• Consequência: nesta release não há recomendação de opcionais (US11). Se houver um Sprint 5, entram primeiro a US09 e a US11 (8 SP).</t>
  </si>
  <si>
    <t xml:space="preserve">• Por decidir antes do Sprint 2: idade mínima e plano do Gemini (os termos excluem menores de 18 e o plano gratuito com utilizadores no EEE).</t>
  </si>
  <si>
    <t xml:space="preserve">Sprint Planning do Sprint 2 (20/10/2026, decisão do PO)</t>
  </si>
  <si>
    <t xml:space="preserve">• A US29 e a US30 (8 SP) foram feitas antes de o sprint começar (PR #19, #20 e #22 a #24). Para o sprint ter trabalho novo, entra a US31 (5 SP), antecipada do Sprint 3.</t>
  </si>
  <si>
    <t xml:space="preserve">• O Sprint 2 fica com 13 SP planeados, acima da velocidade (10), mas só 5 SP são trabalho novo. O Sprint 3 fica com a US05 (5 SP) e 5 SP por planear: rever no fim do Sprint 2.</t>
  </si>
  <si>
    <t xml:space="preserve">• Ponto 14 decidido: o OptaBem é um protótipo usado pela equipa e na demonstração, com aviso de 18+ na conversa; fica escrito no relatório.</t>
  </si>
  <si>
    <t xml:space="preserve">• Servidor Ollama da faculdade testado e posto de parte: lento e não obedece ao pedido de sugestão (PR #25 e #26; 05-spike-llm.md, secção 7). Fica o Gemini.</t>
  </si>
  <si>
    <t xml:space="preserve">Sprint Review do Sprint 2 e Sprint Planning do Sprint 3 (22/10/2026, decisão dos PO)</t>
  </si>
  <si>
    <t xml:space="preserve">• Sprint Review: US29, US30 e US31 aceites, 13 de 13 SP. O percurso completo foi testado com o Gemini real, também noutro computador.</t>
  </si>
  <si>
    <t xml:space="preserve">• Até à entrega de 05/11, o centro do produto são os cursos. As opcionais saíram do site (PR #33) e as suas stories passam para segundo plano: US06 e US07 saem do Sprint 4 (Must → Should).</t>
  </si>
  <si>
    <t xml:space="preserve">• Sprints de uma semana: Sprint 3 de 22/10 a 29/10 e Sprint 4 de 29/10 a 05/11.</t>
  </si>
  <si>
    <t xml:space="preserve">• Sprint 3: US05 (5 SP) e US17 (3 SP, sobe do Backlog e passa a Must), com 2 SP de folga.</t>
  </si>
  <si>
    <t xml:space="preserve">• Sprint 4: uma story nova a decidir com o docente; a US04 entra se houver folga. O código fecha por volta de 03/11, para o relatório e a demonstração.</t>
  </si>
  <si>
    <t xml:space="preserve">• A revisão de 22/10 (segurança do túnel, menu do aluno, textos) fica adiada por decisão do PO; o túnel é só para a equipa.</t>
  </si>
  <si>
    <t xml:space="preserve">Sprint Review do Sprint 3 (23/10/2026, decisão dos PO)</t>
  </si>
  <si>
    <t xml:space="preserve">• US05 e US17 aceites, 7 de 7 SP. As duas stories foram testadas pelos PO (filtros, ficha, comparação e apagar a conta).</t>
  </si>
  <si>
    <t xml:space="preserve">• O sprint fecha antes de 29/10 porque o objetivo foi cumprido. Entrou também, sem story, o menu fixo no topo (PR #40).</t>
  </si>
  <si>
    <t xml:space="preserve">• No fecho, um teste da US17 que dependia da data em que corria foi corrigido (sem mudanças no código da aplicação).</t>
  </si>
  <si>
    <t xml:space="preserve">• Sprint 4 por planear: a story nova fica a decidir com o docente.</t>
  </si>
  <si>
    <t xml:space="preserve">Replaneamento de 23/10/2026 (decisões do PO, com o protótipo do PR #44)</t>
  </si>
  <si>
    <t xml:space="preserve">• O plano de candidatura ao Concurso Nacional de Acesso substitui as opcionais: épico novo E12 com a US33 (condições de acesso), US34 (notas), US35 (nota por curso), US36 (as 6 opções), US37 (assistente com as notas) e US38 (datas do concurso).</t>
  </si>
  <si>
    <t xml:space="preserve">• As 22 stories das opcionais passam a Won't (fase 2) e ficam no fim do backlog, para a rastreabilidade.</t>
  </si>
  <si>
    <t xml:space="preserve">• US04 reescrita: o catálogo vem da DGES por recolha, em vez de ser importado por CSV na gestão; passa a Must e entra no Sprint 4.</t>
  </si>
  <si>
    <t xml:space="preserve">• US39 nova (gestão do catálogo), a partir da sugestão de um colega de editar a base de dados na área de gestão; fica no Backlog (Should).</t>
  </si>
  <si>
    <t xml:space="preserve">• Atenção: o Sprint 4 fica com 18 SP planeados, acima da velocidade (10). O código das US33 a US36 foi feito antes do sprint (protótipo), como a US29 e a US30 no Sprint 2. Se o docente achar demais, a US36 é a primeira a sair (é Should).</t>
  </si>
  <si>
    <t xml:space="preserve">• Sem story: o registo pede o nome, terminar sessão volta à página inicial e «As minhas decisões» sai do menu (PR #43 e #44).</t>
  </si>
  <si>
    <t xml:space="preserve">• Correção: o Sprint Planning de 22/10 dizia «US17 (3 SP)»; a US17 tem 2 SP (o total de 7 SP da Sprint Review está certo).</t>
  </si>
  <si>
    <t xml:space="preserve">• A story do Sprint 4 tem de ser confirmada com o docente.</t>
  </si>
  <si>
    <t xml:space="preserve">• (23/10, mais tarde) Stories novas US40 a US43, propostas pelo Claude e aceites pelo PO: quanto preciso no exame, tendência do último colocado, procura do curso e partilhar o plano. Feitas no PR #44.</t>
  </si>
  <si>
    <t xml:space="preserve">• Atenção: com elas, o Sprint 4 fica com 27 SP planeados para uma velocidade de 10. Quase todo o código já está feito (protótipo), mas a documentação de cada story (requisitos, use case, BPMN) não. Se o docente achar demais, saem primeiro a US43 (Could) e depois a US36, US40, US41 e US42 (Should).</t>
  </si>
  <si>
    <t xml:space="preserve">• Sem story: a gestão passa a ativar contas por confirmar, enquanto o site não envia emails reais (PR #43).</t>
  </si>
  <si>
    <t xml:space="preserve">• (23/10, ao fim do dia) Stories novas US44 (que exames me abrem mais portas) e US45 (plano B: 2.ª fase), propostas pelo Claude e escolhidas pelo PO. Feitas no PR #44.</t>
  </si>
  <si>
    <t xml:space="preserve">• O Sprint 4 fica com 32 SP planeados para uma velocidade de 10. Isto não é um planeamento realista em Scrum: o código foi feito antes do sprint, como protótipo. No Sprint Planning de 29/10, os PO e o docente decidem que stories entram; as restantes voltam ao Backlog com o código já feito.</t>
  </si>
  <si>
    <t xml:space="preserve">• Esclarecimento: o Sprint 4 ainda não começou (29/10 a 05/11). Um sprint fecha na Sprint Review, no fim do tempo marcado; aceitar um PR é o que faz uma story contar como Feita.</t>
  </si>
  <si>
    <t xml:space="preserve">Reestruturação de 27/10/2026 (autorizada pelo docente; decisão do PO)</t>
  </si>
  <si>
    <t xml:space="preserve">• O docente autorizou mudar o backlog a fundo, para corresponder a um recomendador de cursos e não de opcionais.</t>
  </si>
  <si>
    <t xml:space="preserve">• As 22 stories das opcionais (US06 a US16 e US18 a US28) e a US32 (fundida na US29) saem do Product Backlog para a folha «Arquivo (opcionais)», com o motivo de cada uma. Os IDs não são reutilizados.</t>
  </si>
  <si>
    <t xml:space="preserve">• Épicos reorganizados: E1 Conta e privacidade, E2 Catálogo de cursos, E3 Orientação com o assistente, E4 Plano de candidatura. Os épicos antigos ficam no arquivo.</t>
  </si>
  <si>
    <t xml:space="preserve">• Sprint 4 reduzido ao essencial: US04 e US33 a US36 (18 SP). As US40 a US45 (14 SP) voltam ao backlog com o código pronto, no estado novo «Protótipo».</t>
  </si>
  <si>
    <t xml:space="preserve">• Stories novas no backlog: US46 (exportar os meus dados, a parte do RF17 que saiu da US17) e US47 (recuperar a palavra-passe, a parte do RF02 sem story).</t>
  </si>
  <si>
    <t xml:space="preserve">• US04 dividida (decisão do PO): fica o catálogo recolhido da DGES com os 174 cursos já recolhidos; a recolha de todas as licenciaturas passa a ser a US48 (Backlog), porque exige o computador ligado uma noite inteira.</t>
  </si>
  <si>
    <t xml:space="preserve">• As notas de cada story passam a dizer só o estado atual; o histórico fica nesta folha.</t>
  </si>
  <si>
    <t xml:space="preserve">• Atenção: mesmo assim, o Sprint 4 tem 18 SP para uma velocidade de 10. Só é defensável porque o código foi feito antes, como protótipo. A confirmar com o docente no Sprint Planning de 29/10.</t>
  </si>
  <si>
    <t xml:space="preserve">Resumo por prioridade (MoSCoW)</t>
  </si>
  <si>
    <t xml:space="preserve">Prioridade</t>
  </si>
  <si>
    <t xml:space="preserve">Significado</t>
  </si>
  <si>
    <t xml:space="preserve">SP total</t>
  </si>
  <si>
    <t xml:space="preserve">% do total de SP</t>
  </si>
  <si>
    <t xml:space="preserve">Obrigatório para o produto fazer sentido</t>
  </si>
  <si>
    <t xml:space="preserve">Importante, mas o produto funciona sem</t>
  </si>
  <si>
    <t xml:space="preserve">Desejável se houver folga</t>
  </si>
  <si>
    <t xml:space="preserve">Won't</t>
  </si>
  <si>
    <t xml:space="preserve">Fora desta release</t>
  </si>
  <si>
    <t xml:space="preserve">Nota (27/10): Won't fica a 0 porque as stories das opcionais (90 SP) saíram para a folha «Arquivo (opcionais)».</t>
  </si>
  <si>
    <t xml:space="preserve">Arquivo — stories das opcionais (fora do produto)</t>
  </si>
  <si>
    <t xml:space="preserve">Até 23/10/2026 o OptaBem era também um recomendador de UCs opcionais. A 27/10, com autorização do docente, estas stories saíram do Product Backlog. Porquê: (1) o OptaBem serve quem ainda está a escolher curso, e essa pessoa não tem opcionais para escolher; (2) no ensino superior português as opcionais pesam pouco no percurso, e a decisão com consequências é a candidatura (épico E4); (3) recomendar opcionais exige avaliações de muitos alunos do mesmo curso, que um protótipo da equipa nunca teria (RN04 e RN05 deixariam quase tudo vazio); (4) não cabiam na velocidade real (10 SP por sprint). Ficam aqui para a rastreabilidade; os IDs não são reutilizados.</t>
  </si>
  <si>
    <t xml:space="preserve">Épico antigo</t>
  </si>
  <si>
    <t xml:space="preserve">Porque fica fora</t>
  </si>
  <si>
    <t xml:space="preserve">US06</t>
  </si>
  <si>
    <t xml:space="preserve">Registar percurso</t>
  </si>
  <si>
    <t xml:space="preserve">Como aluno, quero indicar as UCs do meu curso que já concluí e em que ano letivo, para que o sistema conheça o meu percurso.</t>
  </si>
  <si>
    <t xml:space="preserve">• O administrador importa as UCs de cada curso por CSV (código, nome, ano, semestre, ECTS, tipo, descrição).
• O aluno seleciona UCs do catálogo do seu curso.
• Não permite duplicados no mesmo ano letivo.
• O aluno pode remover um registo.</t>
  </si>
  <si>
    <t xml:space="preserve">Pressupõe um aluno já inscrito num curso; o público do OptaBem ainda está a escolher curso.</t>
  </si>
  <si>
    <t xml:space="preserve">US07</t>
  </si>
  <si>
    <t xml:space="preserve">Avaliar opcional concluída</t>
  </si>
  <si>
    <t xml:space="preserve">Como aluno, quero avaliar uma opcional que fiz em interesse, carga e dificuldade (1–5), para ajudar colegas que vão escolher a seguir.</t>
  </si>
  <si>
    <t xml:space="preserve">• Só aparecem cursos ou UCs do meu percurso (RN01).
• Os três campos são obrigatórios.
• Posso editar ou apagar a avaliação.
• Só é possível avaliar dentro de um período aberto (até à US16, o período está sempre aberto).
• As avaliações ficam ligadas a um pseudo_id desde o início, e não ao email (ponto 2 dos requisitos); as regras de visualização e exportação ficam na US09.</t>
  </si>
  <si>
    <t xml:space="preserve">Base das recomendações colaborativas; sem alunos reais do mesmo curso não há dados.</t>
  </si>
  <si>
    <t xml:space="preserve">US09</t>
  </si>
  <si>
    <t xml:space="preserve">Avaliações pseudonimizadas</t>
  </si>
  <si>
    <t xml:space="preserve">Como aluno, quero que as minhas avaliações não fiquem associadas à minha identidade em nenhum ecrã, para poder avaliar com honestidade.</t>
  </si>
  <si>
    <t xml:space="preserve">• Avaliações ligadas ao pseudo_id e não ao email.
• Nenhuma página ou exportação de administrador mostra avaliações por aluno.
• Regra RN04 aplicada em todos os agregados.
• Teste automático que verifica RN04.</t>
  </si>
  <si>
    <t xml:space="preserve">Só faz sentido se houver avaliações de UCs (US07).</t>
  </si>
  <si>
    <t xml:space="preserve">US11</t>
  </si>
  <si>
    <t xml:space="preserve">E5</t>
  </si>
  <si>
    <t xml:space="preserve">Recomendações de popularidade</t>
  </si>
  <si>
    <t xml:space="preserve">Como aluno com poucas avaliações, quero ver as opcionais mais bem avaliadas pelos colegas, para ter sugestões mesmo sem historial.</t>
  </si>
  <si>
    <t xml:space="preserve">• Aparece quando o aluno não cumpre RN05.
• A interface indica que são "populares" e não personalizadas.
• Nunca inclui UCs que o aluno já concluiu (RN03).
• Implementada como estratégia intercambiável (padrão Strategy, docs/geral/03).</t>
  </si>
  <si>
    <t xml:space="preserve">Precisa de avaliações. O equivalente para cursos é a conversa com o assistente (US29 e US30).</t>
  </si>
  <si>
    <t xml:space="preserve">US08</t>
  </si>
  <si>
    <t xml:space="preserve">Avaliação rápida de obrigatórias</t>
  </si>
  <si>
    <t xml:space="preserve">Como aluno, quero avaliar rapidamente o interesse das obrigatórias que fiz numa só página, para que o sistema me conheça mesmo antes de eu ter feito opcionais.</t>
  </si>
  <si>
    <t xml:space="preserve">• Vista em grelha com todas as obrigatórias do percurso.
• Gravação de todas de uma vez.
• Avaliar 10 UCs demora menos de 2 minutos.</t>
  </si>
  <si>
    <t xml:space="preserve">Só servia para alimentar o motor de recomendação de opcionais.</t>
  </si>
  <si>
    <t xml:space="preserve">E9</t>
  </si>
  <si>
    <t xml:space="preserve">Dataset sintético</t>
  </si>
  <si>
    <t xml:space="preserve">Como equipa de desenvolvimento, queremos gerar um dataset sintético com perfis de aluno genéricos, para testar o motor antes de haver dados reais.</t>
  </si>
  <si>
    <t xml:space="preserve">• Parâmetros configuráveis (nº alunos, nº UCs, % de esparsidade, perfis).
• O motor recomenda UCs do perfil "plantado" na maioria dos casos.</t>
  </si>
  <si>
    <t xml:space="preserve">US20</t>
  </si>
  <si>
    <t xml:space="preserve">Servia para testar o motor de recomendação de opcionais.</t>
  </si>
  <si>
    <t xml:space="preserve">US12</t>
  </si>
  <si>
    <t xml:space="preserve">Recomendações user-based</t>
  </si>
  <si>
    <t xml:space="preserve">Como aluno, quero receber uma lista das opcionais recomendadas com base em alunos com gostos parecidos com os meus, para escolher com mais confiança.</t>
  </si>
  <si>
    <t xml:space="preserve">• Top-5 por omissão, com nota prevista.
• Similaridade calculada só sobre UCs comuns
• Testes unitários com uma matriz pequena de resultado conhecido.
• Tempo de resposta &lt; 2 s (RNF03).</t>
  </si>
  <si>
    <t xml:space="preserve">Precisa de muitos alunos com avaliações em comum (RN05); inviável numa demonstração.</t>
  </si>
  <si>
    <t xml:space="preserve">US13</t>
  </si>
  <si>
    <t xml:space="preserve">E7</t>
  </si>
  <si>
    <t xml:space="preserve">Excluir UCs inválidas</t>
  </si>
  <si>
    <t xml:space="preserve">Como aluno, quero que não me sejam recomendadas UCs que já fiz ou que não são do meu curso/ano, para que a lista seja útil.</t>
  </si>
  <si>
    <t xml:space="preserve">• Aplica RN03 e as restrições de curso/ano.
• Teste automático cobre os três casos.</t>
  </si>
  <si>
    <t xml:space="preserve">US15</t>
  </si>
  <si>
    <t xml:space="preserve">Regra do motor de opcionais.</t>
  </si>
  <si>
    <t xml:space="preserve">US14</t>
  </si>
  <si>
    <t xml:space="preserve">E8</t>
  </si>
  <si>
    <t xml:space="preserve">Explicação da recomendação</t>
  </si>
  <si>
    <t xml:space="preserve">Como aluno, quero perceber porque me foi recomendada cada opcional, para confiar (ou não) na sugestão.</t>
  </si>
  <si>
    <t xml:space="preserve">• Cada item mostra o nº de colegas semelhantes e a média de interesse deles.
• Mostra carga e dificuldade médias (se RN04 o permitir).
• A explicação não revela identidades.</t>
  </si>
  <si>
    <t xml:space="preserve">A explicação das sugestões de curso já existe (US30).</t>
  </si>
  <si>
    <t xml:space="preserve">Avaliação offline do motor</t>
  </si>
  <si>
    <t xml:space="preserve">Como equipa de desenvolvimento, queremos medir a qualidade das recomendações escondendo avaliações reais, para demonstrar que o motor é melhor do que o baseline.</t>
  </si>
  <si>
    <t xml:space="preserve">• Divisão treino/teste reprodutível.
• RMSE, MAE, Precision@5 e cobertura calculados.
• Resultados guardados e comparáveis entre estratégias.</t>
  </si>
  <si>
    <t xml:space="preserve">US21</t>
  </si>
  <si>
    <t xml:space="preserve">Mede um motor de recomendação que não existe.</t>
  </si>
  <si>
    <t xml:space="preserve">US16</t>
  </si>
  <si>
    <t xml:space="preserve">E10</t>
  </si>
  <si>
    <t xml:space="preserve">Períodos de avaliação</t>
  </si>
  <si>
    <t xml:space="preserve">Como administrador, quero abrir e fechar o período de avaliações de cada semestre, para que as avaliações sejam feitas depois de as UCs terminarem.</t>
  </si>
  <si>
    <t xml:space="preserve">• Definição de datas de abertura e fecho por semestre.
• Fora do período, o formulário de avaliação fica bloqueado com mensagem explicativa.</t>
  </si>
  <si>
    <t xml:space="preserve">US24</t>
  </si>
  <si>
    <t xml:space="preserve">Depende das avaliações de UCs.</t>
  </si>
  <si>
    <t xml:space="preserve">US18</t>
  </si>
  <si>
    <t xml:space="preserve">Comentário livre</t>
  </si>
  <si>
    <t xml:space="preserve">Como aluno, quero deixar um comentário opcional numa avaliação, para partilhar informação que os números não mostram.</t>
  </si>
  <si>
    <t xml:space="preserve">• Máximo de 500 caracteres.
• O comentário aparece sem autor.
• Só é visível quando a UC tem ≥ 5 avaliações.
• Aviso para não incluir nomes de pessoas.</t>
  </si>
  <si>
    <t xml:space="preserve">US19</t>
  </si>
  <si>
    <t xml:space="preserve">Moderar comentários</t>
  </si>
  <si>
    <t xml:space="preserve">Como administrador, quero ocultar comentários inapropriados, para manter a plataforma útil e respeitosa.</t>
  </si>
  <si>
    <t xml:space="preserve">• Lista de comentários sem autor.
• Ocultar e repor comentários.
• Os alunos podem sinalizar comentários.</t>
  </si>
  <si>
    <t xml:space="preserve">US25</t>
  </si>
  <si>
    <t xml:space="preserve">Depende dos comentários (US18).</t>
  </si>
  <si>
    <t xml:space="preserve">Filtrar por semestre e ECTS</t>
  </si>
  <si>
    <t xml:space="preserve">Como aluno, quero filtrar as recomendações por semestre e ECTS, para ver só o que se aplica à minha escolha atual.</t>
  </si>
  <si>
    <t xml:space="preserve">• Filtros combináveis.
• A lista atualiza sem perder a ordenação da recomendação.</t>
  </si>
  <si>
    <t xml:space="preserve">Filtro das recomendações de opcionais; os cursos têm filtros próprios (US05).</t>
  </si>
  <si>
    <t xml:space="preserve">Preferência de carga de trabalho</t>
  </si>
  <si>
    <t xml:space="preserve">Como aluno, quero indicar se prefiro uma opcional leve ou exigente, para que as recomendações se ajustem ao meu semestre.</t>
  </si>
  <si>
    <t xml:space="preserve">• Três opções (leve / indiferente / exigente).
• A ordenação muda de forma visível.
• "Indiferente" mantém a ordenação original.</t>
  </si>
  <si>
    <t xml:space="preserve">Ajuste do motor de opcionais.</t>
  </si>
  <si>
    <t xml:space="preserve">US22</t>
  </si>
  <si>
    <t xml:space="preserve">E6</t>
  </si>
  <si>
    <t xml:space="preserve">Comparação de estratégias</t>
  </si>
  <si>
    <t xml:space="preserve">Como administrador, quero ver uma tabela comparativa das métricas de cada estratégia e escolher qual está ativa, para usar a melhor.</t>
  </si>
  <si>
    <t xml:space="preserve">• Tabela baseline vs. user-based vs. SVD.
• A estratégia ativa muda sem reiniciar a aplicação.</t>
  </si>
  <si>
    <t xml:space="preserve">US23</t>
  </si>
  <si>
    <t xml:space="preserve">Depende de várias estratégias do motor, incluindo o SVD, que já estava fora do plano.</t>
  </si>
  <si>
    <t xml:space="preserve">Esconder UCs sem vagas</t>
  </si>
  <si>
    <t xml:space="preserve">Como aluno, quero ver apenas opcionais com vagas, para não perder tempo com UCs já cheias.</t>
  </si>
  <si>
    <t xml:space="preserve">• O administrador atualiza vagas (manual ou CSV).
• UCs com 0 vagas não aparecem, com opção "mostrar todas".</t>
  </si>
  <si>
    <t xml:space="preserve">As vagas das UCs mudam a cada semestre e não há fonte pública.</t>
  </si>
  <si>
    <t xml:space="preserve">Feedback sobre recomendações</t>
  </si>
  <si>
    <t xml:space="preserve">Como aluno, quero marcar uma recomendação como útil, não útil ou ocultá-la, para que a lista reflita o que me interessa.</t>
  </si>
  <si>
    <t xml:space="preserve">• UCs ocultas deixam de aparecer.
• O feedback fica registado para análise.</t>
  </si>
  <si>
    <t xml:space="preserve">Feedback sobre recomendações de opcionais.</t>
  </si>
  <si>
    <t xml:space="preserve">Painel de participação</t>
  </si>
  <si>
    <t xml:space="preserve">Como administrador, quero ver quantos alunos avaliaram e quão esparsa está a matriz, para saber se o motor tem dados suficientes.</t>
  </si>
  <si>
    <t xml:space="preserve">• Mostra nº de alunos, nº de avaliações e % de células preenchidas.
• Mostra avaliações por UC (sem identificar alunos).</t>
  </si>
  <si>
    <t xml:space="preserve">US26</t>
  </si>
  <si>
    <t xml:space="preserve">Mede a participação nas avaliações de UCs.</t>
  </si>
  <si>
    <t xml:space="preserve">Filtragem baseada em itens</t>
  </si>
  <si>
    <t xml:space="preserve">Como aluno, quero ver "quem gostou desta UC também gostou de…" na página de cada opcional, para descobrir alternativas semelhantes.</t>
  </si>
  <si>
    <t xml:space="preserve">• Similaridade entre UCs calculada a partir das avaliações.
• Mostra até 3 UCs semelhantes, respeitando RN04.</t>
  </si>
  <si>
    <t xml:space="preserve">US27</t>
  </si>
  <si>
    <t xml:space="preserve">Precisa de avaliações e não tinha requisito associado.</t>
  </si>
  <si>
    <t xml:space="preserve">Evitar conflitos de horário</t>
  </si>
  <si>
    <t xml:space="preserve">Como aluno, quero indicar o meu horário para que não me sejam recomendadas opcionais que colidam com ele.</t>
  </si>
  <si>
    <t xml:space="preserve">• O aluno marca blocos ocupados.
• UCs com sobreposição são excluídas.
• O administrador importa horários das UCs.</t>
  </si>
  <si>
    <t xml:space="preserve">Os horários das UCs não são públicos de forma uniforme; 8 SP para um caso raro.</t>
  </si>
  <si>
    <t xml:space="preserve">US28</t>
  </si>
  <si>
    <t xml:space="preserve">Lembretes de avaliação</t>
  </si>
  <si>
    <t xml:space="preserve">Como aluno, quero receber um lembrete no fim do semestre para avaliar as UCs que fiz, para não me esquecer de contribuir.</t>
  </si>
  <si>
    <t xml:space="preserve">• Email enviado na abertura do período de avaliação.
• O aluno pode desativar lembretes.</t>
  </si>
  <si>
    <t xml:space="preserve">Depende dos períodos de avaliação e não tinha requisito associado.</t>
  </si>
  <si>
    <t xml:space="preserve">US32</t>
  </si>
  <si>
    <t xml:space="preserve">E11</t>
  </si>
  <si>
    <t xml:space="preserve">Assistente LLM que conversa com o utilizador</t>
  </si>
  <si>
    <t xml:space="preserve">Como pessoa indecisa, quero conversar com um assistente que me faça perguntas e me ajude a perceber que cursos e opcionais fazem sentido para mim, para decidir com mais confiança.</t>
  </si>
  <si>
    <t xml:space="preserve">• Fundida na US29 a 14/10/2026 (decisão do PO na issue #15): a conversa com o assistente passa a ser a própria orientação. A sugestão de cursos é a US30.</t>
  </si>
  <si>
    <t xml:space="preserve">Fundida na US29 a 14/10 (issue #15): a conversa com o assistente passou a ser a própria orientação.</t>
  </si>
  <si>
    <t xml:space="preserve">Total de story points arquivados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</si>
</sst>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;[RED]\-0;0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4F5"/>
        <bgColor rgb="FFEDEDED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DE4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DE4F5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  <dxf>
      <fill>
        <patternFill>
          <bgColor rgb="FFFCE4D6"/>
        </patternFill>
      </fill>
    </dxf>
    <dxf>
      <fill>
        <patternFill>
          <bgColor rgb="FFEDE4F5"/>
        </patternFill>
      </fill>
    </dxf>
    <dxf>
      <font>
        <color rgb="FF80808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4F5"/>
      <rgbColor rgb="FFFCE4D6"/>
      <rgbColor rgb="FFEDEDED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Story points por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'Plano de sprints'!D5</c:f>
              <c:strCache>
                <c:ptCount val="1"/>
                <c:pt idx="0">
                  <c:v>SP planeados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'Plano de sprints'!$A$6:$A$9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'Plano de sprints'!$D$6:$D$9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7</c:v>
                </c:pt>
                <c:pt idx="3">
                  <c:v>18</c:v>
                </c:pt>
              </c:numCache>
            </c:numRef>
          </c:val>
        </c:ser>
        <c:ser>
          <c:idx val="1"/>
          <c:order val="1"/>
          <c:tx>
            <c:strRef>
              <c:f>'Plano de sprints'!E5</c:f>
              <c:strCache>
                <c:ptCount val="1"/>
                <c:pt idx="0">
                  <c:v>SP feitos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'Plano de sprints'!$A$6:$A$9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'Plano de sprints'!$E$6:$E$9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7705679"/>
        <c:axId val="59618585"/>
      </c:barChart>
      <c:catAx>
        <c:axId val="87705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18585"/>
        <c:crosses val="autoZero"/>
        <c:auto val="1"/>
        <c:lblAlgn val="ctr"/>
        <c:lblOffset val="100"/>
        <c:noMultiLvlLbl val="0"/>
      </c:catAx>
      <c:valAx>
        <c:axId val="596185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05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48600</xdr:rowOff>
    </xdr:from>
    <xdr:to>
      <xdr:col>2</xdr:col>
      <xdr:colOff>2087280</xdr:colOff>
      <xdr:row>24</xdr:row>
      <xdr:rowOff>84240</xdr:rowOff>
    </xdr:to>
    <xdr:graphicFrame>
      <xdr:nvGraphicFramePr>
        <xdr:cNvPr id="0" name="Chart 1"/>
        <xdr:cNvGraphicFramePr/>
      </xdr:nvGraphicFramePr>
      <xdr:xfrm>
        <a:off x="775440" y="3992040"/>
        <a:ext cx="5752440" cy="25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K15" activeCellId="0" sqref="K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7"/>
    <col collapsed="false" customWidth="true" hidden="false" outlineLevel="0" max="4" min="4" style="1" width="24"/>
    <col collapsed="false" customWidth="true" hidden="false" outlineLevel="0" max="5" min="5" style="1" width="48"/>
    <col collapsed="false" customWidth="true" hidden="false" outlineLevel="0" max="6" min="6" style="1" width="52"/>
    <col collapsed="false" customWidth="true" hidden="false" outlineLevel="0" max="7" min="7" style="1" width="6"/>
    <col collapsed="false" customWidth="true" hidden="false" outlineLevel="0" max="8" min="8" style="1" width="9"/>
    <col collapsed="false" customWidth="true" hidden="false" outlineLevel="0" max="10" min="9" style="1" width="11"/>
    <col collapsed="false" customWidth="true" hidden="false" outlineLevel="0" max="11" min="11" style="1" width="14"/>
    <col collapsed="false" customWidth="true" hidden="false" outlineLevel="0" max="12" min="12" style="1" width="24"/>
    <col collapsed="false" customWidth="true" hidden="false" outlineLevel="0" max="13" min="13" style="1" width="10"/>
  </cols>
  <sheetData>
    <row r="1" customFormat="false" ht="17.25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75" hidden="false" customHeight="true" outlineLevel="0" collapsed="false">
      <c r="A5" s="5" t="n">
        <v>1</v>
      </c>
      <c r="B5" s="5" t="s">
        <v>15</v>
      </c>
      <c r="C5" s="5" t="s">
        <v>16</v>
      </c>
      <c r="D5" s="6" t="s">
        <v>17</v>
      </c>
      <c r="E5" s="6" t="s">
        <v>18</v>
      </c>
      <c r="F5" s="6" t="s">
        <v>19</v>
      </c>
      <c r="G5" s="7" t="n">
        <v>3</v>
      </c>
      <c r="H5" s="5" t="s">
        <v>20</v>
      </c>
      <c r="I5" s="7" t="s">
        <v>21</v>
      </c>
      <c r="J5" s="7" t="s">
        <v>22</v>
      </c>
      <c r="K5" s="8"/>
      <c r="L5" s="8" t="s">
        <v>23</v>
      </c>
      <c r="M5" s="5" t="s">
        <v>15</v>
      </c>
    </row>
    <row r="6" customFormat="false" ht="75" hidden="false" customHeight="true" outlineLevel="0" collapsed="false">
      <c r="A6" s="5" t="n">
        <v>2</v>
      </c>
      <c r="B6" s="5" t="s">
        <v>24</v>
      </c>
      <c r="C6" s="5" t="s">
        <v>16</v>
      </c>
      <c r="D6" s="6" t="s">
        <v>25</v>
      </c>
      <c r="E6" s="6" t="s">
        <v>26</v>
      </c>
      <c r="F6" s="6" t="s">
        <v>27</v>
      </c>
      <c r="G6" s="7" t="n">
        <v>2</v>
      </c>
      <c r="H6" s="5" t="s">
        <v>20</v>
      </c>
      <c r="I6" s="7" t="s">
        <v>21</v>
      </c>
      <c r="J6" s="7" t="s">
        <v>22</v>
      </c>
      <c r="K6" s="8"/>
      <c r="L6" s="8" t="s">
        <v>28</v>
      </c>
      <c r="M6" s="5" t="s">
        <v>24</v>
      </c>
    </row>
    <row r="7" customFormat="false" ht="75" hidden="false" customHeight="true" outlineLevel="0" collapsed="false">
      <c r="A7" s="5" t="n">
        <v>3</v>
      </c>
      <c r="B7" s="5" t="s">
        <v>29</v>
      </c>
      <c r="C7" s="5" t="s">
        <v>16</v>
      </c>
      <c r="D7" s="6" t="s">
        <v>30</v>
      </c>
      <c r="E7" s="6" t="s">
        <v>31</v>
      </c>
      <c r="F7" s="6" t="s">
        <v>32</v>
      </c>
      <c r="G7" s="7" t="n">
        <v>5</v>
      </c>
      <c r="H7" s="5" t="s">
        <v>20</v>
      </c>
      <c r="I7" s="7" t="s">
        <v>21</v>
      </c>
      <c r="J7" s="7" t="s">
        <v>22</v>
      </c>
      <c r="K7" s="8"/>
      <c r="L7" s="8" t="s">
        <v>33</v>
      </c>
      <c r="M7" s="5" t="s">
        <v>34</v>
      </c>
    </row>
    <row r="8" customFormat="false" ht="75" hidden="false" customHeight="true" outlineLevel="0" collapsed="false">
      <c r="A8" s="5" t="n">
        <v>4</v>
      </c>
      <c r="B8" s="5" t="s">
        <v>35</v>
      </c>
      <c r="C8" s="5" t="s">
        <v>36</v>
      </c>
      <c r="D8" s="6" t="s">
        <v>37</v>
      </c>
      <c r="E8" s="6" t="s">
        <v>38</v>
      </c>
      <c r="F8" s="6" t="s">
        <v>39</v>
      </c>
      <c r="G8" s="7" t="n">
        <v>5</v>
      </c>
      <c r="H8" s="5" t="s">
        <v>20</v>
      </c>
      <c r="I8" s="7" t="s">
        <v>40</v>
      </c>
      <c r="J8" s="7" t="s">
        <v>22</v>
      </c>
      <c r="K8" s="8"/>
      <c r="L8" s="8" t="s">
        <v>41</v>
      </c>
      <c r="M8" s="5" t="s">
        <v>34</v>
      </c>
    </row>
    <row r="9" customFormat="false" ht="75" hidden="false" customHeight="true" outlineLevel="0" collapsed="false">
      <c r="A9" s="5" t="n">
        <v>5</v>
      </c>
      <c r="B9" s="5" t="s">
        <v>42</v>
      </c>
      <c r="C9" s="5" t="s">
        <v>36</v>
      </c>
      <c r="D9" s="6" t="s">
        <v>43</v>
      </c>
      <c r="E9" s="6" t="s">
        <v>44</v>
      </c>
      <c r="F9" s="6" t="s">
        <v>45</v>
      </c>
      <c r="G9" s="7" t="n">
        <v>3</v>
      </c>
      <c r="H9" s="5" t="s">
        <v>20</v>
      </c>
      <c r="I9" s="7" t="s">
        <v>40</v>
      </c>
      <c r="J9" s="7" t="s">
        <v>22</v>
      </c>
      <c r="K9" s="8"/>
      <c r="L9" s="8" t="s">
        <v>46</v>
      </c>
      <c r="M9" s="5" t="s">
        <v>34</v>
      </c>
    </row>
    <row r="10" customFormat="false" ht="75" hidden="false" customHeight="true" outlineLevel="0" collapsed="false">
      <c r="A10" s="5" t="n">
        <v>6</v>
      </c>
      <c r="B10" s="5" t="s">
        <v>47</v>
      </c>
      <c r="C10" s="5" t="s">
        <v>36</v>
      </c>
      <c r="D10" s="6" t="s">
        <v>48</v>
      </c>
      <c r="E10" s="6" t="s">
        <v>49</v>
      </c>
      <c r="F10" s="6" t="s">
        <v>50</v>
      </c>
      <c r="G10" s="7" t="n">
        <v>5</v>
      </c>
      <c r="H10" s="5" t="s">
        <v>20</v>
      </c>
      <c r="I10" s="7" t="s">
        <v>40</v>
      </c>
      <c r="J10" s="7" t="s">
        <v>22</v>
      </c>
      <c r="K10" s="8"/>
      <c r="L10" s="8" t="s">
        <v>51</v>
      </c>
      <c r="M10" s="5" t="s">
        <v>34</v>
      </c>
    </row>
    <row r="11" customFormat="false" ht="75" hidden="false" customHeight="true" outlineLevel="0" collapsed="false">
      <c r="A11" s="5" t="n">
        <v>7</v>
      </c>
      <c r="B11" s="5" t="s">
        <v>52</v>
      </c>
      <c r="C11" s="5" t="s">
        <v>53</v>
      </c>
      <c r="D11" s="6" t="s">
        <v>54</v>
      </c>
      <c r="E11" s="6" t="s">
        <v>55</v>
      </c>
      <c r="F11" s="6" t="s">
        <v>56</v>
      </c>
      <c r="G11" s="7" t="n">
        <v>5</v>
      </c>
      <c r="H11" s="5" t="s">
        <v>20</v>
      </c>
      <c r="I11" s="7" t="s">
        <v>57</v>
      </c>
      <c r="J11" s="7" t="s">
        <v>22</v>
      </c>
      <c r="K11" s="8"/>
      <c r="L11" s="8" t="s">
        <v>58</v>
      </c>
      <c r="M11" s="5" t="s">
        <v>59</v>
      </c>
    </row>
    <row r="12" customFormat="false" ht="75" hidden="false" customHeight="true" outlineLevel="0" collapsed="false">
      <c r="A12" s="5" t="n">
        <v>8</v>
      </c>
      <c r="B12" s="5" t="s">
        <v>60</v>
      </c>
      <c r="C12" s="5" t="s">
        <v>16</v>
      </c>
      <c r="D12" s="6" t="s">
        <v>61</v>
      </c>
      <c r="E12" s="6" t="s">
        <v>62</v>
      </c>
      <c r="F12" s="6" t="s">
        <v>63</v>
      </c>
      <c r="G12" s="7" t="n">
        <v>2</v>
      </c>
      <c r="H12" s="5" t="s">
        <v>20</v>
      </c>
      <c r="I12" s="7" t="s">
        <v>57</v>
      </c>
      <c r="J12" s="7" t="s">
        <v>22</v>
      </c>
      <c r="K12" s="8"/>
      <c r="L12" s="8" t="s">
        <v>64</v>
      </c>
      <c r="M12" s="5" t="s">
        <v>65</v>
      </c>
    </row>
    <row r="13" customFormat="false" ht="75" hidden="false" customHeight="true" outlineLevel="0" collapsed="false">
      <c r="A13" s="5" t="n">
        <v>9</v>
      </c>
      <c r="B13" s="5" t="s">
        <v>59</v>
      </c>
      <c r="C13" s="5" t="s">
        <v>53</v>
      </c>
      <c r="D13" s="6" t="s">
        <v>66</v>
      </c>
      <c r="E13" s="6" t="s">
        <v>67</v>
      </c>
      <c r="F13" s="6" t="s">
        <v>68</v>
      </c>
      <c r="G13" s="7" t="n">
        <v>5</v>
      </c>
      <c r="H13" s="5" t="s">
        <v>20</v>
      </c>
      <c r="I13" s="7" t="s">
        <v>69</v>
      </c>
      <c r="J13" s="7" t="s">
        <v>70</v>
      </c>
      <c r="K13" s="8"/>
      <c r="L13" s="8" t="s">
        <v>71</v>
      </c>
      <c r="M13" s="5" t="s">
        <v>29</v>
      </c>
    </row>
    <row r="14" customFormat="false" ht="75" hidden="false" customHeight="true" outlineLevel="0" collapsed="false">
      <c r="A14" s="5" t="n">
        <v>10</v>
      </c>
      <c r="B14" s="5" t="s">
        <v>72</v>
      </c>
      <c r="C14" s="5" t="s">
        <v>73</v>
      </c>
      <c r="D14" s="6" t="s">
        <v>74</v>
      </c>
      <c r="E14" s="6" t="s">
        <v>75</v>
      </c>
      <c r="F14" s="6" t="s">
        <v>76</v>
      </c>
      <c r="G14" s="7" t="n">
        <v>3</v>
      </c>
      <c r="H14" s="5" t="s">
        <v>20</v>
      </c>
      <c r="I14" s="7" t="s">
        <v>69</v>
      </c>
      <c r="J14" s="7" t="s">
        <v>70</v>
      </c>
      <c r="K14" s="8"/>
      <c r="L14" s="8" t="s">
        <v>77</v>
      </c>
      <c r="M14" s="5" t="s">
        <v>78</v>
      </c>
    </row>
    <row r="15" customFormat="false" ht="75" hidden="false" customHeight="true" outlineLevel="0" collapsed="false">
      <c r="A15" s="5" t="n">
        <v>11</v>
      </c>
      <c r="B15" s="5" t="s">
        <v>79</v>
      </c>
      <c r="C15" s="5" t="s">
        <v>73</v>
      </c>
      <c r="D15" s="6" t="s">
        <v>80</v>
      </c>
      <c r="E15" s="6" t="s">
        <v>81</v>
      </c>
      <c r="F15" s="6" t="s">
        <v>82</v>
      </c>
      <c r="G15" s="7" t="n">
        <v>2</v>
      </c>
      <c r="H15" s="5" t="s">
        <v>20</v>
      </c>
      <c r="I15" s="7" t="s">
        <v>69</v>
      </c>
      <c r="J15" s="7" t="s">
        <v>70</v>
      </c>
      <c r="K15" s="8"/>
      <c r="L15" s="8" t="s">
        <v>83</v>
      </c>
      <c r="M15" s="5" t="s">
        <v>78</v>
      </c>
    </row>
    <row r="16" customFormat="false" ht="75" hidden="false" customHeight="true" outlineLevel="0" collapsed="false">
      <c r="A16" s="5" t="n">
        <v>12</v>
      </c>
      <c r="B16" s="5" t="s">
        <v>84</v>
      </c>
      <c r="C16" s="5" t="s">
        <v>73</v>
      </c>
      <c r="D16" s="6" t="s">
        <v>85</v>
      </c>
      <c r="E16" s="6" t="s">
        <v>86</v>
      </c>
      <c r="F16" s="6" t="s">
        <v>87</v>
      </c>
      <c r="G16" s="7" t="n">
        <v>3</v>
      </c>
      <c r="H16" s="5" t="s">
        <v>20</v>
      </c>
      <c r="I16" s="7" t="s">
        <v>69</v>
      </c>
      <c r="J16" s="7" t="s">
        <v>70</v>
      </c>
      <c r="K16" s="8"/>
      <c r="L16" s="8" t="s">
        <v>88</v>
      </c>
      <c r="M16" s="5" t="s">
        <v>78</v>
      </c>
    </row>
    <row r="17" customFormat="false" ht="75" hidden="false" customHeight="true" outlineLevel="0" collapsed="false">
      <c r="A17" s="5" t="n">
        <v>13</v>
      </c>
      <c r="B17" s="5" t="s">
        <v>89</v>
      </c>
      <c r="C17" s="5" t="s">
        <v>73</v>
      </c>
      <c r="D17" s="6" t="s">
        <v>90</v>
      </c>
      <c r="E17" s="6" t="s">
        <v>91</v>
      </c>
      <c r="F17" s="6" t="s">
        <v>92</v>
      </c>
      <c r="G17" s="7" t="n">
        <v>5</v>
      </c>
      <c r="H17" s="5" t="s">
        <v>93</v>
      </c>
      <c r="I17" s="7" t="s">
        <v>69</v>
      </c>
      <c r="J17" s="7" t="s">
        <v>70</v>
      </c>
      <c r="K17" s="8"/>
      <c r="L17" s="8" t="s">
        <v>94</v>
      </c>
      <c r="M17" s="5" t="s">
        <v>78</v>
      </c>
    </row>
    <row r="18" customFormat="false" ht="75" hidden="false" customHeight="true" outlineLevel="0" collapsed="false">
      <c r="A18" s="5" t="n">
        <v>14</v>
      </c>
      <c r="B18" s="5" t="s">
        <v>95</v>
      </c>
      <c r="C18" s="5" t="s">
        <v>73</v>
      </c>
      <c r="D18" s="6" t="s">
        <v>96</v>
      </c>
      <c r="E18" s="6" t="s">
        <v>97</v>
      </c>
      <c r="F18" s="6" t="s">
        <v>98</v>
      </c>
      <c r="G18" s="7" t="n">
        <v>2</v>
      </c>
      <c r="H18" s="5" t="s">
        <v>93</v>
      </c>
      <c r="I18" s="7" t="s">
        <v>99</v>
      </c>
      <c r="J18" s="7" t="s">
        <v>70</v>
      </c>
      <c r="K18" s="8"/>
      <c r="L18" s="8" t="s">
        <v>100</v>
      </c>
      <c r="M18" s="5" t="s">
        <v>78</v>
      </c>
    </row>
    <row r="19" customFormat="false" ht="75" hidden="false" customHeight="true" outlineLevel="0" collapsed="false">
      <c r="A19" s="5" t="n">
        <v>15</v>
      </c>
      <c r="B19" s="5" t="s">
        <v>101</v>
      </c>
      <c r="C19" s="5" t="s">
        <v>73</v>
      </c>
      <c r="D19" s="6" t="s">
        <v>102</v>
      </c>
      <c r="E19" s="6" t="s">
        <v>103</v>
      </c>
      <c r="F19" s="6" t="s">
        <v>104</v>
      </c>
      <c r="G19" s="7" t="n">
        <v>2</v>
      </c>
      <c r="H19" s="5" t="s">
        <v>93</v>
      </c>
      <c r="I19" s="7" t="s">
        <v>99</v>
      </c>
      <c r="J19" s="7" t="s">
        <v>70</v>
      </c>
      <c r="K19" s="8"/>
      <c r="L19" s="8" t="s">
        <v>100</v>
      </c>
      <c r="M19" s="5" t="s">
        <v>78</v>
      </c>
    </row>
    <row r="20" customFormat="false" ht="75" hidden="false" customHeight="true" outlineLevel="0" collapsed="false">
      <c r="A20" s="5" t="n">
        <v>16</v>
      </c>
      <c r="B20" s="5" t="s">
        <v>105</v>
      </c>
      <c r="C20" s="5" t="s">
        <v>73</v>
      </c>
      <c r="D20" s="6" t="s">
        <v>106</v>
      </c>
      <c r="E20" s="6" t="s">
        <v>107</v>
      </c>
      <c r="F20" s="6" t="s">
        <v>108</v>
      </c>
      <c r="G20" s="7" t="n">
        <v>2</v>
      </c>
      <c r="H20" s="5" t="s">
        <v>93</v>
      </c>
      <c r="I20" s="7" t="s">
        <v>99</v>
      </c>
      <c r="J20" s="7" t="s">
        <v>70</v>
      </c>
      <c r="K20" s="8"/>
      <c r="L20" s="8" t="s">
        <v>100</v>
      </c>
      <c r="M20" s="5" t="s">
        <v>78</v>
      </c>
    </row>
    <row r="21" customFormat="false" ht="75" hidden="false" customHeight="true" outlineLevel="0" collapsed="false">
      <c r="A21" s="5" t="n">
        <v>17</v>
      </c>
      <c r="B21" s="5" t="s">
        <v>109</v>
      </c>
      <c r="C21" s="5" t="s">
        <v>73</v>
      </c>
      <c r="D21" s="6" t="s">
        <v>110</v>
      </c>
      <c r="E21" s="6" t="s">
        <v>111</v>
      </c>
      <c r="F21" s="6" t="s">
        <v>112</v>
      </c>
      <c r="G21" s="7" t="n">
        <v>3</v>
      </c>
      <c r="H21" s="5" t="s">
        <v>93</v>
      </c>
      <c r="I21" s="7" t="s">
        <v>99</v>
      </c>
      <c r="J21" s="7" t="s">
        <v>70</v>
      </c>
      <c r="K21" s="8"/>
      <c r="L21" s="8" t="s">
        <v>100</v>
      </c>
      <c r="M21" s="5" t="s">
        <v>78</v>
      </c>
    </row>
    <row r="22" customFormat="false" ht="75" hidden="false" customHeight="true" outlineLevel="0" collapsed="false">
      <c r="A22" s="5" t="n">
        <v>18</v>
      </c>
      <c r="B22" s="5" t="s">
        <v>113</v>
      </c>
      <c r="C22" s="5" t="s">
        <v>36</v>
      </c>
      <c r="D22" s="6" t="s">
        <v>114</v>
      </c>
      <c r="E22" s="6" t="s">
        <v>115</v>
      </c>
      <c r="F22" s="6" t="s">
        <v>116</v>
      </c>
      <c r="G22" s="7" t="n">
        <v>3</v>
      </c>
      <c r="H22" s="5" t="s">
        <v>93</v>
      </c>
      <c r="I22" s="7" t="s">
        <v>99</v>
      </c>
      <c r="J22" s="7" t="s">
        <v>117</v>
      </c>
      <c r="K22" s="8"/>
      <c r="L22" s="8" t="s">
        <v>118</v>
      </c>
      <c r="M22" s="5" t="s">
        <v>78</v>
      </c>
    </row>
    <row r="23" customFormat="false" ht="75" hidden="false" customHeight="true" outlineLevel="0" collapsed="false">
      <c r="A23" s="5" t="n">
        <v>19</v>
      </c>
      <c r="B23" s="5" t="s">
        <v>119</v>
      </c>
      <c r="C23" s="5" t="s">
        <v>16</v>
      </c>
      <c r="D23" s="6" t="s">
        <v>120</v>
      </c>
      <c r="E23" s="6" t="s">
        <v>121</v>
      </c>
      <c r="F23" s="6" t="s">
        <v>122</v>
      </c>
      <c r="G23" s="7" t="n">
        <v>2</v>
      </c>
      <c r="H23" s="5" t="s">
        <v>93</v>
      </c>
      <c r="I23" s="7" t="s">
        <v>99</v>
      </c>
      <c r="J23" s="7" t="s">
        <v>117</v>
      </c>
      <c r="K23" s="8"/>
      <c r="L23" s="8" t="s">
        <v>123</v>
      </c>
      <c r="M23" s="5" t="s">
        <v>78</v>
      </c>
    </row>
    <row r="24" customFormat="false" ht="75" hidden="false" customHeight="true" outlineLevel="0" collapsed="false">
      <c r="A24" s="5" t="n">
        <v>20</v>
      </c>
      <c r="B24" s="5" t="s">
        <v>124</v>
      </c>
      <c r="C24" s="5" t="s">
        <v>16</v>
      </c>
      <c r="D24" s="6" t="s">
        <v>125</v>
      </c>
      <c r="E24" s="6" t="s">
        <v>126</v>
      </c>
      <c r="F24" s="6" t="s">
        <v>127</v>
      </c>
      <c r="G24" s="7" t="n">
        <v>3</v>
      </c>
      <c r="H24" s="5" t="s">
        <v>93</v>
      </c>
      <c r="I24" s="7" t="s">
        <v>99</v>
      </c>
      <c r="J24" s="7" t="s">
        <v>117</v>
      </c>
      <c r="K24" s="8"/>
      <c r="L24" s="8" t="s">
        <v>128</v>
      </c>
      <c r="M24" s="5" t="s">
        <v>78</v>
      </c>
    </row>
    <row r="25" customFormat="false" ht="75" hidden="false" customHeight="true" outlineLevel="0" collapsed="false">
      <c r="A25" s="5" t="n">
        <v>21</v>
      </c>
      <c r="B25" s="5" t="s">
        <v>129</v>
      </c>
      <c r="C25" s="5" t="s">
        <v>53</v>
      </c>
      <c r="D25" s="6" t="s">
        <v>130</v>
      </c>
      <c r="E25" s="6" t="s">
        <v>131</v>
      </c>
      <c r="F25" s="6" t="s">
        <v>132</v>
      </c>
      <c r="G25" s="7" t="n">
        <v>2</v>
      </c>
      <c r="H25" s="5" t="s">
        <v>93</v>
      </c>
      <c r="I25" s="7" t="s">
        <v>99</v>
      </c>
      <c r="J25" s="7" t="s">
        <v>117</v>
      </c>
      <c r="K25" s="8"/>
      <c r="L25" s="8" t="s">
        <v>133</v>
      </c>
      <c r="M25" s="5" t="s">
        <v>78</v>
      </c>
    </row>
    <row r="26" customFormat="false" ht="75" hidden="false" customHeight="true" outlineLevel="0" collapsed="false">
      <c r="A26" s="5" t="n">
        <v>22</v>
      </c>
      <c r="B26" s="5" t="s">
        <v>134</v>
      </c>
      <c r="C26" s="5" t="s">
        <v>53</v>
      </c>
      <c r="D26" s="6" t="s">
        <v>135</v>
      </c>
      <c r="E26" s="6" t="s">
        <v>136</v>
      </c>
      <c r="F26" s="6" t="s">
        <v>137</v>
      </c>
      <c r="G26" s="7" t="n">
        <v>5</v>
      </c>
      <c r="H26" s="5" t="s">
        <v>93</v>
      </c>
      <c r="I26" s="7" t="s">
        <v>99</v>
      </c>
      <c r="J26" s="7" t="s">
        <v>117</v>
      </c>
      <c r="K26" s="8"/>
      <c r="L26" s="8" t="s">
        <v>138</v>
      </c>
      <c r="M26" s="5" t="s">
        <v>78</v>
      </c>
    </row>
    <row r="27" customFormat="false" ht="75" hidden="false" customHeight="true" outlineLevel="0" collapsed="false">
      <c r="A27" s="5" t="n">
        <v>23</v>
      </c>
      <c r="B27" s="5" t="s">
        <v>139</v>
      </c>
      <c r="C27" s="5" t="s">
        <v>73</v>
      </c>
      <c r="D27" s="6" t="s">
        <v>140</v>
      </c>
      <c r="E27" s="6" t="s">
        <v>141</v>
      </c>
      <c r="F27" s="6" t="s">
        <v>142</v>
      </c>
      <c r="G27" s="7" t="n">
        <v>3</v>
      </c>
      <c r="H27" s="5" t="s">
        <v>143</v>
      </c>
      <c r="I27" s="7" t="s">
        <v>99</v>
      </c>
      <c r="J27" s="7" t="s">
        <v>70</v>
      </c>
      <c r="K27" s="8"/>
      <c r="L27" s="8" t="s">
        <v>100</v>
      </c>
      <c r="M27" s="5" t="s">
        <v>78</v>
      </c>
    </row>
    <row r="28" customFormat="false" ht="75" hidden="false" customHeight="true" outlineLevel="0" collapsed="false">
      <c r="A28" s="5" t="n">
        <v>24</v>
      </c>
      <c r="B28" s="5" t="s">
        <v>144</v>
      </c>
      <c r="C28" s="5" t="s">
        <v>73</v>
      </c>
      <c r="D28" s="6" t="s">
        <v>145</v>
      </c>
      <c r="E28" s="6" t="s">
        <v>146</v>
      </c>
      <c r="F28" s="6" t="s">
        <v>147</v>
      </c>
      <c r="G28" s="7" t="n">
        <v>2</v>
      </c>
      <c r="H28" s="5" t="s">
        <v>143</v>
      </c>
      <c r="I28" s="7" t="s">
        <v>99</v>
      </c>
      <c r="J28" s="7" t="s">
        <v>70</v>
      </c>
      <c r="K28" s="8"/>
      <c r="L28" s="8" t="s">
        <v>100</v>
      </c>
      <c r="M28" s="5" t="s">
        <v>78</v>
      </c>
    </row>
    <row r="29" customFormat="false" ht="75" hidden="false" customHeight="true" outlineLevel="0" collapsed="false">
      <c r="A29" s="5" t="n">
        <v>25</v>
      </c>
      <c r="B29" s="5" t="s">
        <v>148</v>
      </c>
      <c r="C29" s="5" t="s">
        <v>73</v>
      </c>
      <c r="D29" s="6" t="s">
        <v>149</v>
      </c>
      <c r="E29" s="6" t="s">
        <v>150</v>
      </c>
      <c r="F29" s="6" t="s">
        <v>151</v>
      </c>
      <c r="G29" s="7" t="n">
        <v>2</v>
      </c>
      <c r="H29" s="5" t="s">
        <v>143</v>
      </c>
      <c r="I29" s="7" t="s">
        <v>99</v>
      </c>
      <c r="J29" s="7" t="s">
        <v>117</v>
      </c>
      <c r="K29" s="8"/>
      <c r="L29" s="8" t="s">
        <v>152</v>
      </c>
      <c r="M29" s="5" t="s">
        <v>78</v>
      </c>
    </row>
    <row r="30" customFormat="false" ht="15" hidden="false" customHeight="true" outlineLevel="0" collapsed="false">
      <c r="F30" s="9" t="s">
        <v>153</v>
      </c>
      <c r="G30" s="9" t="n">
        <f aca="false">SUM(G5:G29)</f>
        <v>79</v>
      </c>
    </row>
    <row r="31" customFormat="false" ht="15" hidden="false" customHeight="true" outlineLevel="0" collapsed="false">
      <c r="F31" s="9" t="s">
        <v>154</v>
      </c>
      <c r="G31" s="9" t="n">
        <f aca="false">SUMIF(J5:J29,"Feito",G5:G29)</f>
        <v>30</v>
      </c>
    </row>
    <row r="32" customFormat="false" ht="30" hidden="false" customHeight="true" outlineLevel="0" collapsed="false">
      <c r="F32" s="10" t="s">
        <v>155</v>
      </c>
    </row>
    <row r="33" customFormat="false" ht="15" hidden="false" customHeight="true" outlineLevel="0" collapsed="false"/>
    <row r="34" customFormat="false" ht="15" hidden="false" customHeight="true" outlineLevel="0" collapsed="false"/>
    <row r="35" customFormat="false" ht="75" hidden="false" customHeight="true" outlineLevel="0" collapsed="false"/>
    <row r="36" customFormat="false" ht="75" hidden="false" customHeight="true" outlineLevel="0" collapsed="false"/>
    <row r="37" customFormat="false" ht="75" hidden="false" customHeight="true" outlineLevel="0" collapsed="false"/>
    <row r="38" customFormat="false" ht="75" hidden="false" customHeight="true" outlineLevel="0" collapsed="false"/>
    <row r="39" customFormat="false" ht="75" hidden="false" customHeight="true" outlineLevel="0" collapsed="false"/>
    <row r="40" customFormat="false" ht="75" hidden="false" customHeight="true" outlineLevel="0" collapsed="false"/>
    <row r="41" customFormat="false" ht="75" hidden="false" customHeight="true" outlineLevel="0" collapsed="false"/>
    <row r="42" customFormat="false" ht="75" hidden="false" customHeight="true" outlineLevel="0" collapsed="false"/>
    <row r="43" customFormat="false" ht="75" hidden="false" customHeight="true" outlineLevel="0" collapsed="false"/>
    <row r="44" customFormat="false" ht="75" hidden="false" customHeight="true" outlineLevel="0" collapsed="false"/>
    <row r="45" customFormat="false" ht="75" hidden="false" customHeight="true" outlineLevel="0" collapsed="false"/>
    <row r="46" customFormat="false" ht="75" hidden="false" customHeight="true" outlineLevel="0" collapsed="false"/>
    <row r="47" customFormat="false" ht="75" hidden="false" customHeight="true" outlineLevel="0" collapsed="false"/>
    <row r="48" customFormat="false" ht="75" hidden="false" customHeight="true" outlineLevel="0" collapsed="false"/>
    <row r="49" customFormat="false" ht="75" hidden="false" customHeight="true" outlineLevel="0" collapsed="false"/>
    <row r="50" customFormat="false" ht="42.75" hidden="false" customHeight="true" outlineLevel="0" collapsed="false"/>
    <row r="51" customFormat="false" ht="14.25" hidden="false" customHeight="true" outlineLevel="0" collapsed="false"/>
    <row r="52" customFormat="false" ht="42.75" hidden="false" customHeight="true" outlineLevel="0" collapsed="false"/>
  </sheetData>
  <autoFilter ref="A4:M29"/>
  <conditionalFormatting sqref="J5:J29">
    <cfRule type="cellIs" priority="2" operator="equal" aboveAverage="0" equalAverage="0" bottom="0" percent="0" rank="0" text="" dxfId="11">
      <formula>"Feito"</formula>
    </cfRule>
    <cfRule type="cellIs" priority="3" operator="equal" aboveAverage="0" equalAverage="0" bottom="0" percent="0" rank="0" text="" dxfId="12">
      <formula>"Em curso"</formula>
    </cfRule>
    <cfRule type="cellIs" priority="4" operator="equal" aboveAverage="0" equalAverage="0" bottom="0" percent="0" rank="0" text="" dxfId="13">
      <formula>"Protótipo"</formula>
    </cfRule>
  </conditionalFormatting>
  <conditionalFormatting sqref="H5:H29">
    <cfRule type="cellIs" priority="5" operator="equal" aboveAverage="0" equalAverage="0" bottom="0" percent="0" rank="0" text="" dxfId="14">
      <formula>"Must"</formula>
    </cfRule>
    <cfRule type="cellIs" priority="6" operator="equal" aboveAverage="0" equalAverage="0" bottom="0" percent="0" rank="0" text="" dxfId="13">
      <formula>"Should"</formula>
    </cfRule>
    <cfRule type="cellIs" priority="7" operator="equal" aboveAverage="0" equalAverage="0" bottom="0" percent="0" rank="0" text="" dxfId="15">
      <formula>"Could"</formula>
    </cfRule>
    <cfRule type="cellIs" priority="8" operator="equal" aboveAverage="0" equalAverage="0" bottom="0" percent="0" rank="0" text="" dxfId="16">
      <formula>"Won't"</formula>
    </cfRule>
  </conditionalFormatting>
  <conditionalFormatting sqref="I5:I29">
    <cfRule type="cellIs" priority="9" operator="equal" aboveAverage="0" equalAverage="0" bottom="0" percent="0" rank="0" text="" dxfId="13">
      <formula>"Sprint 1"</formula>
    </cfRule>
    <cfRule type="cellIs" priority="10" operator="equal" aboveAverage="0" equalAverage="0" bottom="0" percent="0" rank="0" text="" dxfId="15">
      <formula>"Sprint 2"</formula>
    </cfRule>
    <cfRule type="cellIs" priority="11" operator="equal" aboveAverage="0" equalAverage="0" bottom="0" percent="0" rank="0" text="" dxfId="17">
      <formula>"Sprint 3"</formula>
    </cfRule>
    <cfRule type="cellIs" priority="12" operator="equal" aboveAverage="0" equalAverage="0" bottom="0" percent="0" rank="0" text="" dxfId="18">
      <formula>"Sprint 4"</formula>
    </cfRule>
    <cfRule type="cellIs" priority="13" operator="equal" aboveAverage="0" equalAverage="0" bottom="0" percent="0" rank="0" text="" dxfId="19">
      <formula>"Backlog"</formula>
    </cfRule>
  </conditionalFormatting>
  <dataValidations count="4">
    <dataValidation allowBlank="true" errorStyle="stop" operator="between" showDropDown="false" showErrorMessage="false" showInputMessage="false" sqref="G5:G29" type="list">
      <formula1>"1,2,3,5,8,13,21"</formula1>
      <formula2>0</formula2>
    </dataValidation>
    <dataValidation allowBlank="true" errorStyle="stop" operator="between" showDropDown="false" showErrorMessage="false" showInputMessage="false" sqref="H5:H29" type="list">
      <formula1>"Must,Should,Could,Won't"</formula1>
      <formula2>0</formula2>
    </dataValidation>
    <dataValidation allowBlank="true" errorStyle="stop" operator="between" showDropDown="false" showErrorMessage="false" showInputMessage="false" sqref="I5:I29" type="list">
      <formula1>"Sprint 1,Sprint 2,Sprint 3,Sprint 4,Backlog"</formula1>
      <formula2>0</formula2>
    </dataValidation>
    <dataValidation allowBlank="true" errorStyle="stop" operator="between" showDropDown="false" showErrorMessage="false" showInputMessage="false" sqref="J5:J29" type="list">
      <formula1>"Por fazer,Protótipo,Em curso,Feito"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52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4"/>
    <col collapsed="false" customWidth="true" hidden="false" outlineLevel="0" max="8" min="8" style="1" width="10"/>
  </cols>
  <sheetData>
    <row r="1" customFormat="false" ht="17.25" hidden="false" customHeight="true" outlineLevel="0" collapsed="false">
      <c r="A1" s="2" t="s">
        <v>156</v>
      </c>
    </row>
    <row r="2" customFormat="false" ht="15" hidden="false" customHeight="true" outlineLevel="0" collapsed="false">
      <c r="A2" s="11" t="s">
        <v>157</v>
      </c>
    </row>
    <row r="3" customFormat="false" ht="15" hidden="false" customHeight="true" outlineLevel="0" collapsed="false">
      <c r="A3" s="12" t="s">
        <v>158</v>
      </c>
      <c r="C3" s="7" t="n">
        <v>10</v>
      </c>
    </row>
    <row r="5" customFormat="false" ht="23.25" hidden="false" customHeight="true" outlineLevel="0" collapsed="false">
      <c r="A5" s="4" t="s">
        <v>10</v>
      </c>
      <c r="B5" s="4" t="s">
        <v>159</v>
      </c>
      <c r="C5" s="4" t="s">
        <v>160</v>
      </c>
      <c r="D5" s="4" t="s">
        <v>161</v>
      </c>
      <c r="E5" s="4" t="s">
        <v>162</v>
      </c>
      <c r="F5" s="4" t="s">
        <v>163</v>
      </c>
      <c r="G5" s="4" t="s">
        <v>164</v>
      </c>
      <c r="H5" s="4" t="s">
        <v>165</v>
      </c>
    </row>
    <row r="6" customFormat="false" ht="42" hidden="false" customHeight="true" outlineLevel="0" collapsed="false">
      <c r="A6" s="13" t="s">
        <v>21</v>
      </c>
      <c r="B6" s="14" t="s">
        <v>166</v>
      </c>
      <c r="C6" s="14" t="s">
        <v>167</v>
      </c>
      <c r="D6" s="5" t="n">
        <f aca="false">SUMIF('Product Backlog'!$I$5:$I$29,$A6,'Product Backlog'!$G$5:$G$29)</f>
        <v>10</v>
      </c>
      <c r="E6" s="5" t="n">
        <f aca="false">SUMIFS('Product Backlog'!$G$5:$G$29,'Product Backlog'!$I$5:$I$29,$A6,'Product Backlog'!$J$5:$J$29,"Feito")</f>
        <v>10</v>
      </c>
      <c r="F6" s="15" t="n">
        <f aca="false">IF(D6=0,0,E6/D6)</f>
        <v>1</v>
      </c>
      <c r="G6" s="16" t="n">
        <f aca="false">$C$3-D6</f>
        <v>0</v>
      </c>
      <c r="H6" s="5" t="n">
        <f aca="false">COUNTIF('Product Backlog'!$I$5:$I$29,$A6)</f>
        <v>3</v>
      </c>
    </row>
    <row r="7" customFormat="false" ht="42" hidden="false" customHeight="true" outlineLevel="0" collapsed="false">
      <c r="A7" s="17" t="s">
        <v>40</v>
      </c>
      <c r="B7" s="14" t="s">
        <v>168</v>
      </c>
      <c r="C7" s="14" t="s">
        <v>169</v>
      </c>
      <c r="D7" s="5" t="n">
        <f aca="false">SUMIF('Product Backlog'!$I$5:$I$29,$A7,'Product Backlog'!$G$5:$G$29)</f>
        <v>13</v>
      </c>
      <c r="E7" s="5" t="n">
        <f aca="false">SUMIFS('Product Backlog'!$G$5:$G$29,'Product Backlog'!$I$5:$I$29,$A7,'Product Backlog'!$J$5:$J$29,"Feito")</f>
        <v>13</v>
      </c>
      <c r="F7" s="15" t="n">
        <f aca="false">IF(D7=0,0,E7/D7)</f>
        <v>1</v>
      </c>
      <c r="G7" s="16" t="n">
        <f aca="false">$C$3-D7</f>
        <v>-3</v>
      </c>
      <c r="H7" s="5" t="n">
        <f aca="false">COUNTIF('Product Backlog'!$I$5:$I$29,$A7)</f>
        <v>3</v>
      </c>
    </row>
    <row r="8" customFormat="false" ht="42" hidden="false" customHeight="true" outlineLevel="0" collapsed="false">
      <c r="A8" s="18" t="s">
        <v>57</v>
      </c>
      <c r="B8" s="14" t="s">
        <v>170</v>
      </c>
      <c r="C8" s="14" t="s">
        <v>171</v>
      </c>
      <c r="D8" s="5" t="n">
        <f aca="false">SUMIF('Product Backlog'!$I$5:$I$29,$A8,'Product Backlog'!$G$5:$G$29)</f>
        <v>7</v>
      </c>
      <c r="E8" s="5" t="n">
        <f aca="false">SUMIFS('Product Backlog'!$G$5:$G$29,'Product Backlog'!$I$5:$I$29,$A8,'Product Backlog'!$J$5:$J$29,"Feito")</f>
        <v>7</v>
      </c>
      <c r="F8" s="15" t="n">
        <f aca="false">IF(D8=0,0,E8/D8)</f>
        <v>1</v>
      </c>
      <c r="G8" s="16" t="n">
        <f aca="false">$C$3-D8</f>
        <v>3</v>
      </c>
      <c r="H8" s="5" t="n">
        <f aca="false">COUNTIF('Product Backlog'!$I$5:$I$29,$A8)</f>
        <v>2</v>
      </c>
    </row>
    <row r="9" customFormat="false" ht="42" hidden="false" customHeight="true" outlineLevel="0" collapsed="false">
      <c r="A9" s="19" t="s">
        <v>69</v>
      </c>
      <c r="B9" s="14" t="s">
        <v>172</v>
      </c>
      <c r="C9" s="14" t="s">
        <v>173</v>
      </c>
      <c r="D9" s="5" t="n">
        <f aca="false">SUMIF('Product Backlog'!$I$5:$I$29,$A9,'Product Backlog'!$G$5:$G$29)</f>
        <v>18</v>
      </c>
      <c r="E9" s="5" t="n">
        <f aca="false">SUMIFS('Product Backlog'!$G$5:$G$29,'Product Backlog'!$I$5:$I$29,$A9,'Product Backlog'!$J$5:$J$29,"Feito")</f>
        <v>0</v>
      </c>
      <c r="F9" s="15" t="n">
        <f aca="false">IF(D9=0,0,E9/D9)</f>
        <v>0</v>
      </c>
      <c r="G9" s="16" t="n">
        <f aca="false">$C$3-D9</f>
        <v>-8</v>
      </c>
      <c r="H9" s="5" t="n">
        <f aca="false">COUNTIF('Product Backlog'!$I$5:$I$29,$A9)</f>
        <v>5</v>
      </c>
    </row>
    <row r="10" customFormat="false" ht="42" hidden="false" customHeight="true" outlineLevel="0" collapsed="false">
      <c r="A10" s="5" t="s">
        <v>99</v>
      </c>
      <c r="B10" s="14" t="s">
        <v>174</v>
      </c>
      <c r="C10" s="14" t="s">
        <v>175</v>
      </c>
      <c r="D10" s="5" t="n">
        <f aca="false">SUMIF('Product Backlog'!$I$5:$I$29,$A10,'Product Backlog'!$G$5:$G$29)</f>
        <v>31</v>
      </c>
      <c r="E10" s="5" t="n">
        <f aca="false">SUMIFS('Product Backlog'!$G$5:$G$29,'Product Backlog'!$I$5:$I$29,$A10,'Product Backlog'!$J$5:$J$29,"Feito")</f>
        <v>0</v>
      </c>
      <c r="F10" s="15" t="n">
        <f aca="false">IF(D10=0,0,E10/D10)</f>
        <v>0</v>
      </c>
      <c r="G10" s="16" t="s">
        <v>34</v>
      </c>
      <c r="H10" s="5" t="n">
        <f aca="false">COUNTIF('Product Backlog'!$I$5:$I$29,$A10)</f>
        <v>12</v>
      </c>
    </row>
    <row r="11" customFormat="false" ht="15" hidden="false" customHeight="true" outlineLevel="0" collapsed="false">
      <c r="A11" s="20" t="s">
        <v>176</v>
      </c>
      <c r="B11" s="20"/>
      <c r="C11" s="20"/>
      <c r="D11" s="21" t="n">
        <f aca="false">SUM(D6:D10)</f>
        <v>79</v>
      </c>
      <c r="E11" s="21" t="n">
        <f aca="false">SUM(E6:E10)</f>
        <v>30</v>
      </c>
      <c r="F11" s="22" t="n">
        <f aca="false">IF(D11=0,0,E11/D11)</f>
        <v>0.379746835443038</v>
      </c>
      <c r="G11" s="21"/>
      <c r="H11" s="21" t="n">
        <f aca="false">SUM(H6:H10)</f>
        <v>25</v>
      </c>
    </row>
    <row r="29" customFormat="false" ht="15" hidden="false" customHeight="true" outlineLevel="0" collapsed="false">
      <c r="A29" s="23" t="s">
        <v>177</v>
      </c>
    </row>
    <row r="30" customFormat="false" ht="15" hidden="false" customHeight="true" outlineLevel="0" collapsed="false">
      <c r="A30" s="24" t="s">
        <v>178</v>
      </c>
    </row>
    <row r="31" customFormat="false" ht="15" hidden="false" customHeight="true" outlineLevel="0" collapsed="false">
      <c r="A31" s="24" t="s">
        <v>179</v>
      </c>
    </row>
    <row r="32" customFormat="false" ht="15" hidden="false" customHeight="true" outlineLevel="0" collapsed="false">
      <c r="A32" s="24" t="s">
        <v>180</v>
      </c>
    </row>
    <row r="33" customFormat="false" ht="15" hidden="false" customHeight="true" outlineLevel="0" collapsed="false">
      <c r="A33" s="24" t="s">
        <v>181</v>
      </c>
    </row>
    <row r="34" customFormat="false" ht="15" hidden="false" customHeight="true" outlineLevel="0" collapsed="false">
      <c r="A34" s="24" t="s">
        <v>182</v>
      </c>
    </row>
    <row r="35" customFormat="false" ht="15" hidden="false" customHeight="true" outlineLevel="0" collapsed="false">
      <c r="A35" s="24" t="s">
        <v>183</v>
      </c>
    </row>
    <row r="36" customFormat="false" ht="15" hidden="false" customHeight="true" outlineLevel="0" collapsed="false">
      <c r="A36" s="24" t="s">
        <v>184</v>
      </c>
    </row>
    <row r="38" customFormat="false" ht="15" hidden="false" customHeight="true" outlineLevel="0" collapsed="false">
      <c r="A38" s="23" t="s">
        <v>185</v>
      </c>
    </row>
    <row r="39" customFormat="false" ht="15" hidden="false" customHeight="true" outlineLevel="0" collapsed="false">
      <c r="A39" s="24" t="s">
        <v>186</v>
      </c>
    </row>
    <row r="40" customFormat="false" ht="15" hidden="false" customHeight="true" outlineLevel="0" collapsed="false">
      <c r="A40" s="24" t="s">
        <v>187</v>
      </c>
    </row>
    <row r="41" customFormat="false" ht="15" hidden="false" customHeight="true" outlineLevel="0" collapsed="false">
      <c r="A41" s="24" t="s">
        <v>188</v>
      </c>
    </row>
    <row r="42" customFormat="false" ht="15" hidden="false" customHeight="true" outlineLevel="0" collapsed="false">
      <c r="A42" s="24" t="s">
        <v>189</v>
      </c>
    </row>
    <row r="43" customFormat="false" ht="15" hidden="false" customHeight="true" outlineLevel="0" collapsed="false">
      <c r="A43" s="24" t="s">
        <v>190</v>
      </c>
    </row>
    <row r="44" customFormat="false" ht="15" hidden="false" customHeight="true" outlineLevel="0" collapsed="false">
      <c r="A44" s="24" t="s">
        <v>191</v>
      </c>
    </row>
    <row r="45" customFormat="false" ht="15" hidden="false" customHeight="true" outlineLevel="0" collapsed="false">
      <c r="A45" s="24" t="s">
        <v>192</v>
      </c>
    </row>
    <row r="47" customFormat="false" ht="15" hidden="false" customHeight="true" outlineLevel="0" collapsed="false">
      <c r="A47" s="23" t="s">
        <v>193</v>
      </c>
    </row>
    <row r="48" customFormat="false" ht="15" hidden="false" customHeight="true" outlineLevel="0" collapsed="false">
      <c r="A48" s="24" t="s">
        <v>194</v>
      </c>
    </row>
    <row r="49" customFormat="false" ht="15" hidden="false" customHeight="true" outlineLevel="0" collapsed="false">
      <c r="A49" s="24" t="s">
        <v>195</v>
      </c>
    </row>
    <row r="50" customFormat="false" ht="15" hidden="false" customHeight="true" outlineLevel="0" collapsed="false">
      <c r="A50" s="24" t="s">
        <v>196</v>
      </c>
    </row>
    <row r="51" customFormat="false" ht="15" hidden="false" customHeight="true" outlineLevel="0" collapsed="false">
      <c r="A51" s="24" t="s">
        <v>197</v>
      </c>
    </row>
    <row r="53" customFormat="false" ht="15" hidden="false" customHeight="true" outlineLevel="0" collapsed="false">
      <c r="A53" s="23" t="s">
        <v>198</v>
      </c>
    </row>
    <row r="54" customFormat="false" ht="15" hidden="false" customHeight="true" outlineLevel="0" collapsed="false">
      <c r="A54" s="24" t="s">
        <v>199</v>
      </c>
    </row>
    <row r="55" customFormat="false" ht="15" hidden="false" customHeight="true" outlineLevel="0" collapsed="false">
      <c r="A55" s="24" t="s">
        <v>200</v>
      </c>
    </row>
    <row r="56" customFormat="false" ht="15" hidden="false" customHeight="true" outlineLevel="0" collapsed="false">
      <c r="A56" s="24" t="s">
        <v>201</v>
      </c>
    </row>
    <row r="57" customFormat="false" ht="15" hidden="false" customHeight="true" outlineLevel="0" collapsed="false">
      <c r="A57" s="24" t="s">
        <v>202</v>
      </c>
    </row>
    <row r="58" customFormat="false" ht="15" hidden="false" customHeight="true" outlineLevel="0" collapsed="false">
      <c r="A58" s="24" t="s">
        <v>203</v>
      </c>
    </row>
    <row r="59" customFormat="false" ht="15" hidden="false" customHeight="true" outlineLevel="0" collapsed="false">
      <c r="A59" s="24" t="s">
        <v>204</v>
      </c>
    </row>
    <row r="60" customFormat="false" ht="15" hidden="false" customHeight="true" outlineLevel="0" collapsed="false">
      <c r="A60" s="23" t="s">
        <v>205</v>
      </c>
    </row>
    <row r="61" customFormat="false" ht="15" hidden="false" customHeight="true" outlineLevel="0" collapsed="false">
      <c r="A61" s="24" t="s">
        <v>206</v>
      </c>
    </row>
    <row r="62" customFormat="false" ht="15" hidden="false" customHeight="true" outlineLevel="0" collapsed="false">
      <c r="A62" s="24" t="s">
        <v>207</v>
      </c>
    </row>
    <row r="63" customFormat="false" ht="15" hidden="false" customHeight="true" outlineLevel="0" collapsed="false">
      <c r="A63" s="24" t="s">
        <v>208</v>
      </c>
    </row>
    <row r="64" customFormat="false" ht="15" hidden="false" customHeight="true" outlineLevel="0" collapsed="false">
      <c r="A64" s="24" t="s">
        <v>209</v>
      </c>
    </row>
    <row r="66" customFormat="false" ht="15" hidden="false" customHeight="true" outlineLevel="0" collapsed="false">
      <c r="A66" s="23" t="s">
        <v>210</v>
      </c>
    </row>
    <row r="67" customFormat="false" ht="15" hidden="false" customHeight="true" outlineLevel="0" collapsed="false">
      <c r="A67" s="24" t="s">
        <v>211</v>
      </c>
    </row>
    <row r="68" customFormat="false" ht="15" hidden="false" customHeight="true" outlineLevel="0" collapsed="false">
      <c r="A68" s="24" t="s">
        <v>212</v>
      </c>
    </row>
    <row r="69" customFormat="false" ht="15" hidden="false" customHeight="true" outlineLevel="0" collapsed="false">
      <c r="A69" s="24" t="s">
        <v>213</v>
      </c>
    </row>
    <row r="70" customFormat="false" ht="15" hidden="false" customHeight="true" outlineLevel="0" collapsed="false">
      <c r="A70" s="24" t="s">
        <v>214</v>
      </c>
    </row>
    <row r="71" customFormat="false" ht="15" hidden="false" customHeight="true" outlineLevel="0" collapsed="false">
      <c r="A71" s="24" t="s">
        <v>215</v>
      </c>
    </row>
    <row r="72" customFormat="false" ht="15" hidden="false" customHeight="true" outlineLevel="0" collapsed="false">
      <c r="A72" s="24" t="s">
        <v>216</v>
      </c>
    </row>
    <row r="74" customFormat="false" ht="15" hidden="false" customHeight="true" outlineLevel="0" collapsed="false">
      <c r="A74" s="23" t="s">
        <v>217</v>
      </c>
    </row>
    <row r="75" customFormat="false" ht="15" hidden="false" customHeight="true" outlineLevel="0" collapsed="false">
      <c r="A75" s="24" t="s">
        <v>218</v>
      </c>
    </row>
    <row r="76" customFormat="false" ht="15" hidden="false" customHeight="true" outlineLevel="0" collapsed="false">
      <c r="A76" s="24" t="s">
        <v>219</v>
      </c>
    </row>
    <row r="77" customFormat="false" ht="15" hidden="false" customHeight="true" outlineLevel="0" collapsed="false">
      <c r="A77" s="24" t="s">
        <v>220</v>
      </c>
    </row>
    <row r="78" customFormat="false" ht="15" hidden="false" customHeight="true" outlineLevel="0" collapsed="false">
      <c r="A78" s="24" t="s">
        <v>221</v>
      </c>
    </row>
    <row r="80" customFormat="false" ht="15" hidden="false" customHeight="true" outlineLevel="0" collapsed="false">
      <c r="A80" s="23" t="s">
        <v>222</v>
      </c>
    </row>
    <row r="81" customFormat="false" ht="15" hidden="false" customHeight="true" outlineLevel="0" collapsed="false">
      <c r="A81" s="24" t="s">
        <v>223</v>
      </c>
    </row>
    <row r="82" customFormat="false" ht="15" hidden="false" customHeight="true" outlineLevel="0" collapsed="false">
      <c r="A82" s="24" t="s">
        <v>224</v>
      </c>
    </row>
    <row r="83" customFormat="false" ht="15" hidden="false" customHeight="true" outlineLevel="0" collapsed="false">
      <c r="A83" s="24" t="s">
        <v>225</v>
      </c>
    </row>
    <row r="84" customFormat="false" ht="15" hidden="false" customHeight="true" outlineLevel="0" collapsed="false">
      <c r="A84" s="24" t="s">
        <v>226</v>
      </c>
    </row>
    <row r="85" customFormat="false" ht="15" hidden="false" customHeight="true" outlineLevel="0" collapsed="false">
      <c r="A85" s="24" t="s">
        <v>227</v>
      </c>
    </row>
    <row r="86" customFormat="false" ht="15" hidden="false" customHeight="true" outlineLevel="0" collapsed="false">
      <c r="A86" s="24" t="s">
        <v>228</v>
      </c>
    </row>
    <row r="87" customFormat="false" ht="15" hidden="false" customHeight="true" outlineLevel="0" collapsed="false">
      <c r="A87" s="24" t="s">
        <v>229</v>
      </c>
    </row>
    <row r="88" customFormat="false" ht="15" hidden="false" customHeight="true" outlineLevel="0" collapsed="false">
      <c r="A88" s="24" t="s">
        <v>230</v>
      </c>
    </row>
    <row r="89" customFormat="false" ht="15" hidden="false" customHeight="true" outlineLevel="0" collapsed="false">
      <c r="A89" s="24" t="s">
        <v>231</v>
      </c>
    </row>
    <row r="90" customFormat="false" ht="15" hidden="false" customHeight="true" outlineLevel="0" collapsed="false">
      <c r="A90" s="24" t="s">
        <v>232</v>
      </c>
    </row>
    <row r="91" customFormat="false" ht="15" hidden="false" customHeight="true" outlineLevel="0" collapsed="false">
      <c r="A91" s="24" t="s">
        <v>233</v>
      </c>
    </row>
    <row r="92" customFormat="false" ht="15" hidden="false" customHeight="true" outlineLevel="0" collapsed="false">
      <c r="A92" s="24" t="s">
        <v>234</v>
      </c>
    </row>
    <row r="93" customFormat="false" ht="15" hidden="false" customHeight="true" outlineLevel="0" collapsed="false">
      <c r="A93" s="24" t="s">
        <v>235</v>
      </c>
    </row>
    <row r="94" customFormat="false" ht="15" hidden="false" customHeight="true" outlineLevel="0" collapsed="false">
      <c r="A94" s="24" t="s">
        <v>236</v>
      </c>
    </row>
    <row r="96" customFormat="false" ht="15" hidden="false" customHeight="true" outlineLevel="0" collapsed="false">
      <c r="A96" s="23" t="s">
        <v>237</v>
      </c>
    </row>
    <row r="97" customFormat="false" ht="15" hidden="false" customHeight="true" outlineLevel="0" collapsed="false">
      <c r="A97" s="24" t="s">
        <v>238</v>
      </c>
    </row>
    <row r="98" customFormat="false" ht="15" hidden="false" customHeight="true" outlineLevel="0" collapsed="false">
      <c r="A98" s="24" t="s">
        <v>239</v>
      </c>
    </row>
    <row r="99" customFormat="false" ht="15" hidden="false" customHeight="true" outlineLevel="0" collapsed="false">
      <c r="A99" s="24" t="s">
        <v>240</v>
      </c>
    </row>
    <row r="100" customFormat="false" ht="15" hidden="false" customHeight="true" outlineLevel="0" collapsed="false">
      <c r="A100" s="24" t="s">
        <v>241</v>
      </c>
    </row>
    <row r="101" customFormat="false" ht="15" hidden="false" customHeight="true" outlineLevel="0" collapsed="false">
      <c r="A101" s="24" t="s">
        <v>242</v>
      </c>
    </row>
    <row r="102" customFormat="false" ht="15" hidden="false" customHeight="true" outlineLevel="0" collapsed="false">
      <c r="A102" s="24" t="s">
        <v>243</v>
      </c>
    </row>
    <row r="103" customFormat="false" ht="15" hidden="false" customHeight="true" outlineLevel="0" collapsed="false">
      <c r="A103" s="24" t="s">
        <v>244</v>
      </c>
    </row>
    <row r="104" customFormat="false" ht="15" hidden="false" customHeight="true" outlineLevel="0" collapsed="false">
      <c r="A104" s="24" t="s">
        <v>245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246</v>
      </c>
    </row>
    <row r="4" customFormat="false" ht="14.25" hidden="false" customHeight="true" outlineLevel="0" collapsed="false">
      <c r="A4" s="4" t="s">
        <v>247</v>
      </c>
      <c r="B4" s="4" t="s">
        <v>248</v>
      </c>
      <c r="C4" s="4" t="s">
        <v>165</v>
      </c>
      <c r="D4" s="4" t="s">
        <v>249</v>
      </c>
      <c r="E4" s="4" t="s">
        <v>250</v>
      </c>
    </row>
    <row r="5" customFormat="false" ht="14.25" hidden="false" customHeight="true" outlineLevel="0" collapsed="false">
      <c r="A5" s="25" t="s">
        <v>20</v>
      </c>
      <c r="B5" s="6" t="s">
        <v>251</v>
      </c>
      <c r="C5" s="5" t="n">
        <f aca="false">COUNTIF('Product Backlog'!$H$5:$H$29,A5)</f>
        <v>12</v>
      </c>
      <c r="D5" s="5" t="n">
        <f aca="false">SUMIF('Product Backlog'!$H$5:$H$29,A5,'Product Backlog'!$G$5:$G$29)</f>
        <v>43</v>
      </c>
      <c r="E5" s="15" t="n">
        <f aca="false">IF(SUM($D$5:$D$8)=0,0,D5/SUM($D$5:$D$8))</f>
        <v>0.544303797468354</v>
      </c>
    </row>
    <row r="6" customFormat="false" ht="14.25" hidden="false" customHeight="true" outlineLevel="0" collapsed="false">
      <c r="A6" s="13" t="s">
        <v>93</v>
      </c>
      <c r="B6" s="6" t="s">
        <v>252</v>
      </c>
      <c r="C6" s="5" t="n">
        <f aca="false">COUNTIF('Product Backlog'!$H$5:$H$29,A6)</f>
        <v>10</v>
      </c>
      <c r="D6" s="5" t="n">
        <f aca="false">SUMIF('Product Backlog'!$H$5:$H$29,A6,'Product Backlog'!$G$5:$G$29)</f>
        <v>29</v>
      </c>
      <c r="E6" s="15" t="n">
        <f aca="false">IF(SUM($D$5:$D$8)=0,0,D6/SUM($D$5:$D$8))</f>
        <v>0.367088607594937</v>
      </c>
    </row>
    <row r="7" customFormat="false" ht="14.25" hidden="false" customHeight="true" outlineLevel="0" collapsed="false">
      <c r="A7" s="17" t="s">
        <v>143</v>
      </c>
      <c r="B7" s="6" t="s">
        <v>253</v>
      </c>
      <c r="C7" s="5" t="n">
        <f aca="false">COUNTIF('Product Backlog'!$H$5:$H$29,A7)</f>
        <v>3</v>
      </c>
      <c r="D7" s="5" t="n">
        <f aca="false">SUMIF('Product Backlog'!$H$5:$H$29,A7,'Product Backlog'!$G$5:$G$29)</f>
        <v>7</v>
      </c>
      <c r="E7" s="15" t="n">
        <f aca="false">IF(SUM($D$5:$D$8)=0,0,D7/SUM($D$5:$D$8))</f>
        <v>0.0886075949367089</v>
      </c>
    </row>
    <row r="8" customFormat="false" ht="14.25" hidden="false" customHeight="true" outlineLevel="0" collapsed="false">
      <c r="A8" s="26" t="s">
        <v>254</v>
      </c>
      <c r="B8" s="6" t="s">
        <v>255</v>
      </c>
      <c r="C8" s="5" t="n">
        <f aca="false">COUNTIF('Product Backlog'!$H$5:$H$29,A8)</f>
        <v>0</v>
      </c>
      <c r="D8" s="5" t="n">
        <f aca="false">SUMIF('Product Backlog'!$H$5:$H$29,A8,'Product Backlog'!$G$5:$G$29)</f>
        <v>0</v>
      </c>
      <c r="E8" s="15" t="n">
        <f aca="false">IF(SUM($D$5:$D$8)=0,0,D8/SUM($D$5:$D$8))</f>
        <v>0</v>
      </c>
    </row>
    <row r="9" customFormat="false" ht="14.25" hidden="false" customHeight="true" outlineLevel="0" collapsed="false">
      <c r="A9" s="9" t="s">
        <v>176</v>
      </c>
      <c r="C9" s="27" t="n">
        <f aca="false">SUM(C5:C8)</f>
        <v>25</v>
      </c>
      <c r="D9" s="27" t="n">
        <f aca="false">SUM(D5:D8)</f>
        <v>79</v>
      </c>
    </row>
    <row r="11" customFormat="false" ht="102" hidden="false" customHeight="true" outlineLevel="0" collapsed="false">
      <c r="A11" s="28" t="s">
        <v>256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46"/>
    <col collapsed="false" customWidth="true" hidden="false" outlineLevel="0" max="5" min="5" style="1" width="50"/>
    <col collapsed="false" customWidth="true" hidden="false" outlineLevel="0" max="6" min="6" style="1" width="6"/>
    <col collapsed="false" customWidth="true" hidden="false" outlineLevel="0" max="7" min="7" style="1" width="10"/>
    <col collapsed="false" customWidth="true" hidden="false" outlineLevel="0" max="8" min="8" style="1" width="44"/>
  </cols>
  <sheetData>
    <row r="1" customFormat="false" ht="17.25" hidden="false" customHeight="true" outlineLevel="0" collapsed="false">
      <c r="A1" s="2" t="s">
        <v>257</v>
      </c>
    </row>
    <row r="2" customFormat="false" ht="91.5" hidden="false" customHeight="true" outlineLevel="0" collapsed="false">
      <c r="A2" s="29" t="s">
        <v>258</v>
      </c>
      <c r="B2" s="29"/>
      <c r="C2" s="29"/>
      <c r="D2" s="29"/>
      <c r="E2" s="29"/>
      <c r="F2" s="29"/>
      <c r="G2" s="29"/>
      <c r="H2" s="29"/>
    </row>
    <row r="4" customFormat="false" ht="34.5" hidden="false" customHeight="true" outlineLevel="0" collapsed="false">
      <c r="A4" s="4" t="s">
        <v>3</v>
      </c>
      <c r="B4" s="4" t="s">
        <v>259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14</v>
      </c>
      <c r="H4" s="4" t="s">
        <v>260</v>
      </c>
    </row>
    <row r="5" customFormat="false" ht="75" hidden="false" customHeight="true" outlineLevel="0" collapsed="false">
      <c r="A5" s="6" t="s">
        <v>261</v>
      </c>
      <c r="B5" s="6" t="s">
        <v>36</v>
      </c>
      <c r="C5" s="6" t="s">
        <v>262</v>
      </c>
      <c r="D5" s="6" t="s">
        <v>263</v>
      </c>
      <c r="E5" s="6" t="s">
        <v>264</v>
      </c>
      <c r="F5" s="6" t="n">
        <v>5</v>
      </c>
      <c r="G5" s="6" t="s">
        <v>52</v>
      </c>
      <c r="H5" s="6" t="s">
        <v>265</v>
      </c>
    </row>
    <row r="6" customFormat="false" ht="75" hidden="false" customHeight="true" outlineLevel="0" collapsed="false">
      <c r="A6" s="6" t="s">
        <v>266</v>
      </c>
      <c r="B6" s="6" t="s">
        <v>36</v>
      </c>
      <c r="C6" s="6" t="s">
        <v>267</v>
      </c>
      <c r="D6" s="6" t="s">
        <v>268</v>
      </c>
      <c r="E6" s="6" t="s">
        <v>269</v>
      </c>
      <c r="F6" s="6" t="n">
        <v>5</v>
      </c>
      <c r="G6" s="6" t="s">
        <v>261</v>
      </c>
      <c r="H6" s="6" t="s">
        <v>270</v>
      </c>
    </row>
    <row r="7" customFormat="false" ht="75" hidden="false" customHeight="true" outlineLevel="0" collapsed="false">
      <c r="A7" s="6" t="s">
        <v>271</v>
      </c>
      <c r="B7" s="6" t="s">
        <v>73</v>
      </c>
      <c r="C7" s="6" t="s">
        <v>272</v>
      </c>
      <c r="D7" s="6" t="s">
        <v>273</v>
      </c>
      <c r="E7" s="6" t="s">
        <v>274</v>
      </c>
      <c r="F7" s="6" t="n">
        <v>5</v>
      </c>
      <c r="G7" s="6" t="s">
        <v>271</v>
      </c>
      <c r="H7" s="6" t="s">
        <v>275</v>
      </c>
    </row>
    <row r="8" customFormat="false" ht="75" hidden="false" customHeight="true" outlineLevel="0" collapsed="false">
      <c r="A8" s="6" t="s">
        <v>276</v>
      </c>
      <c r="B8" s="6" t="s">
        <v>277</v>
      </c>
      <c r="C8" s="6" t="s">
        <v>278</v>
      </c>
      <c r="D8" s="6" t="s">
        <v>279</v>
      </c>
      <c r="E8" s="6" t="s">
        <v>280</v>
      </c>
      <c r="F8" s="6" t="n">
        <v>3</v>
      </c>
      <c r="G8" s="6" t="s">
        <v>276</v>
      </c>
      <c r="H8" s="6" t="s">
        <v>281</v>
      </c>
    </row>
    <row r="9" customFormat="false" ht="75" hidden="false" customHeight="true" outlineLevel="0" collapsed="false">
      <c r="A9" s="6" t="s">
        <v>282</v>
      </c>
      <c r="B9" s="6" t="s">
        <v>36</v>
      </c>
      <c r="C9" s="6" t="s">
        <v>283</v>
      </c>
      <c r="D9" s="6" t="s">
        <v>284</v>
      </c>
      <c r="E9" s="6" t="s">
        <v>285</v>
      </c>
      <c r="F9" s="6" t="n">
        <v>3</v>
      </c>
      <c r="G9" s="6" t="s">
        <v>266</v>
      </c>
      <c r="H9" s="6" t="s">
        <v>286</v>
      </c>
    </row>
    <row r="10" customFormat="false" ht="75" hidden="false" customHeight="true" outlineLevel="0" collapsed="false">
      <c r="A10" s="6" t="s">
        <v>65</v>
      </c>
      <c r="B10" s="6" t="s">
        <v>287</v>
      </c>
      <c r="C10" s="6" t="s">
        <v>288</v>
      </c>
      <c r="D10" s="6" t="s">
        <v>289</v>
      </c>
      <c r="E10" s="6" t="s">
        <v>290</v>
      </c>
      <c r="F10" s="6" t="n">
        <v>5</v>
      </c>
      <c r="G10" s="6" t="s">
        <v>291</v>
      </c>
      <c r="H10" s="6" t="s">
        <v>292</v>
      </c>
    </row>
    <row r="11" customFormat="false" ht="75" hidden="false" customHeight="true" outlineLevel="0" collapsed="false">
      <c r="A11" s="6" t="s">
        <v>293</v>
      </c>
      <c r="B11" s="6" t="s">
        <v>277</v>
      </c>
      <c r="C11" s="6" t="s">
        <v>294</v>
      </c>
      <c r="D11" s="6" t="s">
        <v>295</v>
      </c>
      <c r="E11" s="6" t="s">
        <v>296</v>
      </c>
      <c r="F11" s="6" t="n">
        <v>8</v>
      </c>
      <c r="G11" s="6" t="s">
        <v>293</v>
      </c>
      <c r="H11" s="6" t="s">
        <v>297</v>
      </c>
    </row>
    <row r="12" customFormat="false" ht="75" hidden="false" customHeight="true" outlineLevel="0" collapsed="false">
      <c r="A12" s="6" t="s">
        <v>298</v>
      </c>
      <c r="B12" s="6" t="s">
        <v>299</v>
      </c>
      <c r="C12" s="6" t="s">
        <v>300</v>
      </c>
      <c r="D12" s="6" t="s">
        <v>301</v>
      </c>
      <c r="E12" s="6" t="s">
        <v>302</v>
      </c>
      <c r="F12" s="6" t="n">
        <v>2</v>
      </c>
      <c r="G12" s="6" t="s">
        <v>303</v>
      </c>
      <c r="H12" s="6" t="s">
        <v>304</v>
      </c>
    </row>
    <row r="13" customFormat="false" ht="75" hidden="false" customHeight="true" outlineLevel="0" collapsed="false">
      <c r="A13" s="6" t="s">
        <v>305</v>
      </c>
      <c r="B13" s="6" t="s">
        <v>306</v>
      </c>
      <c r="C13" s="6" t="s">
        <v>307</v>
      </c>
      <c r="D13" s="6" t="s">
        <v>308</v>
      </c>
      <c r="E13" s="6" t="s">
        <v>309</v>
      </c>
      <c r="F13" s="6" t="n">
        <v>5</v>
      </c>
      <c r="G13" s="6" t="s">
        <v>298</v>
      </c>
      <c r="H13" s="6" t="s">
        <v>310</v>
      </c>
    </row>
    <row r="14" customFormat="false" ht="75" hidden="false" customHeight="true" outlineLevel="0" collapsed="false">
      <c r="A14" s="6" t="s">
        <v>303</v>
      </c>
      <c r="B14" s="6" t="s">
        <v>287</v>
      </c>
      <c r="C14" s="6" t="s">
        <v>311</v>
      </c>
      <c r="D14" s="6" t="s">
        <v>312</v>
      </c>
      <c r="E14" s="6" t="s">
        <v>313</v>
      </c>
      <c r="F14" s="6" t="n">
        <v>5</v>
      </c>
      <c r="G14" s="6" t="s">
        <v>314</v>
      </c>
      <c r="H14" s="6" t="s">
        <v>315</v>
      </c>
    </row>
    <row r="15" customFormat="false" ht="75" hidden="false" customHeight="true" outlineLevel="0" collapsed="false">
      <c r="A15" s="6" t="s">
        <v>316</v>
      </c>
      <c r="B15" s="6" t="s">
        <v>317</v>
      </c>
      <c r="C15" s="6" t="s">
        <v>318</v>
      </c>
      <c r="D15" s="6" t="s">
        <v>319</v>
      </c>
      <c r="E15" s="6" t="s">
        <v>320</v>
      </c>
      <c r="F15" s="6" t="n">
        <v>3</v>
      </c>
      <c r="G15" s="6" t="s">
        <v>321</v>
      </c>
      <c r="H15" s="6" t="s">
        <v>322</v>
      </c>
    </row>
    <row r="16" customFormat="false" ht="75" hidden="false" customHeight="true" outlineLevel="0" collapsed="false">
      <c r="A16" s="6" t="s">
        <v>323</v>
      </c>
      <c r="B16" s="6" t="s">
        <v>36</v>
      </c>
      <c r="C16" s="6" t="s">
        <v>324</v>
      </c>
      <c r="D16" s="6" t="s">
        <v>325</v>
      </c>
      <c r="E16" s="6" t="s">
        <v>326</v>
      </c>
      <c r="F16" s="6" t="n">
        <v>3</v>
      </c>
      <c r="G16" s="6" t="s">
        <v>282</v>
      </c>
      <c r="H16" s="6" t="s">
        <v>322</v>
      </c>
    </row>
    <row r="17" customFormat="false" ht="75" hidden="false" customHeight="true" outlineLevel="0" collapsed="false">
      <c r="A17" s="6" t="s">
        <v>327</v>
      </c>
      <c r="B17" s="6" t="s">
        <v>317</v>
      </c>
      <c r="C17" s="6" t="s">
        <v>328</v>
      </c>
      <c r="D17" s="6" t="s">
        <v>329</v>
      </c>
      <c r="E17" s="6" t="s">
        <v>330</v>
      </c>
      <c r="F17" s="6" t="n">
        <v>3</v>
      </c>
      <c r="G17" s="6" t="s">
        <v>331</v>
      </c>
      <c r="H17" s="6" t="s">
        <v>332</v>
      </c>
    </row>
    <row r="18" customFormat="false" ht="75" hidden="false" customHeight="true" outlineLevel="0" collapsed="false">
      <c r="A18" s="6" t="s">
        <v>291</v>
      </c>
      <c r="B18" s="6" t="s">
        <v>299</v>
      </c>
      <c r="C18" s="6" t="s">
        <v>333</v>
      </c>
      <c r="D18" s="6" t="s">
        <v>334</v>
      </c>
      <c r="E18" s="6" t="s">
        <v>335</v>
      </c>
      <c r="F18" s="6" t="n">
        <v>2</v>
      </c>
      <c r="G18" s="6" t="s">
        <v>316</v>
      </c>
      <c r="H18" s="6" t="s">
        <v>336</v>
      </c>
    </row>
    <row r="19" customFormat="false" ht="75" hidden="false" customHeight="true" outlineLevel="0" collapsed="false">
      <c r="A19" s="6" t="s">
        <v>314</v>
      </c>
      <c r="B19" s="6" t="s">
        <v>299</v>
      </c>
      <c r="C19" s="6" t="s">
        <v>337</v>
      </c>
      <c r="D19" s="6" t="s">
        <v>338</v>
      </c>
      <c r="E19" s="6" t="s">
        <v>339</v>
      </c>
      <c r="F19" s="6" t="n">
        <v>5</v>
      </c>
      <c r="G19" s="6" t="s">
        <v>305</v>
      </c>
      <c r="H19" s="6" t="s">
        <v>340</v>
      </c>
    </row>
    <row r="20" customFormat="false" ht="75" hidden="false" customHeight="true" outlineLevel="0" collapsed="false">
      <c r="A20" s="6" t="s">
        <v>341</v>
      </c>
      <c r="B20" s="6" t="s">
        <v>342</v>
      </c>
      <c r="C20" s="6" t="s">
        <v>343</v>
      </c>
      <c r="D20" s="6" t="s">
        <v>344</v>
      </c>
      <c r="E20" s="6" t="s">
        <v>345</v>
      </c>
      <c r="F20" s="6" t="n">
        <v>3</v>
      </c>
      <c r="G20" s="6" t="s">
        <v>346</v>
      </c>
      <c r="H20" s="6" t="s">
        <v>347</v>
      </c>
    </row>
    <row r="21" customFormat="false" ht="75" hidden="false" customHeight="true" outlineLevel="0" collapsed="false">
      <c r="A21" s="6" t="s">
        <v>346</v>
      </c>
      <c r="B21" s="6" t="s">
        <v>299</v>
      </c>
      <c r="C21" s="6" t="s">
        <v>348</v>
      </c>
      <c r="D21" s="6" t="s">
        <v>349</v>
      </c>
      <c r="E21" s="6" t="s">
        <v>350</v>
      </c>
      <c r="F21" s="6" t="n">
        <v>3</v>
      </c>
      <c r="G21" s="6" t="s">
        <v>60</v>
      </c>
      <c r="H21" s="6" t="s">
        <v>351</v>
      </c>
    </row>
    <row r="22" customFormat="false" ht="75" hidden="false" customHeight="true" outlineLevel="0" collapsed="false">
      <c r="A22" s="6" t="s">
        <v>321</v>
      </c>
      <c r="B22" s="6" t="s">
        <v>306</v>
      </c>
      <c r="C22" s="6" t="s">
        <v>352</v>
      </c>
      <c r="D22" s="6" t="s">
        <v>353</v>
      </c>
      <c r="E22" s="6" t="s">
        <v>354</v>
      </c>
      <c r="F22" s="6" t="n">
        <v>3</v>
      </c>
      <c r="G22" s="6" t="s">
        <v>327</v>
      </c>
      <c r="H22" s="6" t="s">
        <v>355</v>
      </c>
    </row>
    <row r="23" customFormat="false" ht="75" hidden="false" customHeight="true" outlineLevel="0" collapsed="false">
      <c r="A23" s="6" t="s">
        <v>331</v>
      </c>
      <c r="B23" s="6" t="s">
        <v>317</v>
      </c>
      <c r="C23" s="6" t="s">
        <v>356</v>
      </c>
      <c r="D23" s="6" t="s">
        <v>357</v>
      </c>
      <c r="E23" s="6" t="s">
        <v>358</v>
      </c>
      <c r="F23" s="6" t="n">
        <v>3</v>
      </c>
      <c r="G23" s="6" t="s">
        <v>359</v>
      </c>
      <c r="H23" s="6" t="s">
        <v>360</v>
      </c>
    </row>
    <row r="24" customFormat="false" ht="75" hidden="false" customHeight="true" outlineLevel="0" collapsed="false">
      <c r="A24" s="6" t="s">
        <v>359</v>
      </c>
      <c r="B24" s="6" t="s">
        <v>342</v>
      </c>
      <c r="C24" s="6" t="s">
        <v>361</v>
      </c>
      <c r="D24" s="6" t="s">
        <v>362</v>
      </c>
      <c r="E24" s="6" t="s">
        <v>363</v>
      </c>
      <c r="F24" s="6" t="n">
        <v>5</v>
      </c>
      <c r="G24" s="6" t="s">
        <v>364</v>
      </c>
      <c r="H24" s="6" t="s">
        <v>365</v>
      </c>
    </row>
    <row r="25" customFormat="false" ht="75" hidden="false" customHeight="true" outlineLevel="0" collapsed="false">
      <c r="A25" s="6" t="s">
        <v>364</v>
      </c>
      <c r="B25" s="6" t="s">
        <v>299</v>
      </c>
      <c r="C25" s="6" t="s">
        <v>366</v>
      </c>
      <c r="D25" s="6" t="s">
        <v>367</v>
      </c>
      <c r="E25" s="6" t="s">
        <v>368</v>
      </c>
      <c r="F25" s="6" t="n">
        <v>8</v>
      </c>
      <c r="G25" s="6" t="s">
        <v>323</v>
      </c>
      <c r="H25" s="6" t="s">
        <v>369</v>
      </c>
    </row>
    <row r="26" customFormat="false" ht="75" hidden="false" customHeight="true" outlineLevel="0" collapsed="false">
      <c r="A26" s="6" t="s">
        <v>370</v>
      </c>
      <c r="B26" s="6" t="s">
        <v>317</v>
      </c>
      <c r="C26" s="6" t="s">
        <v>371</v>
      </c>
      <c r="D26" s="6" t="s">
        <v>372</v>
      </c>
      <c r="E26" s="6" t="s">
        <v>373</v>
      </c>
      <c r="F26" s="6" t="n">
        <v>3</v>
      </c>
      <c r="G26" s="6" t="s">
        <v>370</v>
      </c>
      <c r="H26" s="6" t="s">
        <v>374</v>
      </c>
    </row>
    <row r="27" customFormat="false" ht="75" hidden="false" customHeight="true" outlineLevel="0" collapsed="false">
      <c r="A27" s="6" t="s">
        <v>375</v>
      </c>
      <c r="B27" s="6" t="s">
        <v>376</v>
      </c>
      <c r="C27" s="6" t="s">
        <v>377</v>
      </c>
      <c r="D27" s="6" t="s">
        <v>378</v>
      </c>
      <c r="E27" s="6" t="s">
        <v>379</v>
      </c>
      <c r="F27" s="6"/>
      <c r="G27" s="6" t="s">
        <v>78</v>
      </c>
      <c r="H27" s="6" t="s">
        <v>380</v>
      </c>
    </row>
    <row r="28" customFormat="false" ht="15" hidden="false" customHeight="true" outlineLevel="0" collapsed="false">
      <c r="E28" s="9" t="s">
        <v>381</v>
      </c>
      <c r="F28" s="9" t="n">
        <f aca="false">SUM(F5:F27)</f>
        <v>90</v>
      </c>
    </row>
  </sheetData>
  <autoFilter ref="A4:H27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2026-09-30T14:10:03Z</dcterms:created>
  <dc:creator>openpyxl</dc:creator>
  <dc:description/>
  <dc:language>en-US</dc:language>
  <cp:lastModifiedBy/>
  <dcterms:modified xsi:type="dcterms:W3CDTF">2026-10-27T09:22:10Z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