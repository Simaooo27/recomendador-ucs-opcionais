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 Backlog" sheetId="1" state="visible" r:id="rId3"/>
    <sheet name="Plano de sprints" sheetId="2" state="visible" r:id="rId4"/>
    <sheet name="Resumo MoSCoW" sheetId="3" state="visible" r:id="rId5"/>
  </sheets>
  <definedNames>
    <definedName function="false" hidden="false" localSheetId="0" name="_xlnm.Print_Titles" vbProcedure="false">'Product Backlog'!$4:$4</definedName>
    <definedName function="false" hidden="true" localSheetId="0" name="_xlnm._FilterDatabase" vbProcedure="false">'Product Backlog'!$A$4:$M$36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Story points em escala de Fibonacci (estimativa relativa de esforço, feita pela equipa de desenvolvimento).</t>
        </r>
      </text>
    </comment>
    <comment ref="M4" authorId="0">
      <text>
        <r>
          <rPr>
            <sz val="10"/>
            <rFont val="Arial"/>
            <family val="2"/>
          </rPr>
          <t xml:space="preserve">Número da story antes da renumeração de 07/10/2026 (é o que aparece no relatório Word e no histórico do GitHub até essa data).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Estimativa inicial da equipa (relatório, secção 11). Rever na Sprint Review com a velocidade real.</t>
        </r>
      </text>
    </comment>
  </commentList>
</comments>
</file>

<file path=xl/sharedStrings.xml><?xml version="1.0" encoding="utf-8"?>
<sst xmlns="http://schemas.openxmlformats.org/spreadsheetml/2006/main" count="403" uniqueCount="252">
  <si>
    <t xml:space="preserve">Product Backlog — Recomendador de UCs Opcionais</t>
  </si>
  <si>
    <t xml:space="preserve">Ordenado pela ordem de trabalho (sprint e prioridade). Células a amarelo são para a equipa atualizar (Sprint, Estado, Responsável, SP, Notas). Replaneado a 14/10/2026 com a velocidade real (10 SP por sprint) e a decisão de o LLM conduzir a orientação (ver folha «Plano de sprints»). A partir de 13/10 os IDs não mudam.</t>
  </si>
  <si>
    <t xml:space="preserve">#</t>
  </si>
  <si>
    <t xml:space="preserve">ID</t>
  </si>
  <si>
    <t xml:space="preserve">Épico</t>
  </si>
  <si>
    <t xml:space="preserve">Título</t>
  </si>
  <si>
    <t xml:space="preserve">User story</t>
  </si>
  <si>
    <t xml:space="preserve">Critérios de aceitação</t>
  </si>
  <si>
    <t xml:space="preserve">SP</t>
  </si>
  <si>
    <t xml:space="preserve">MoSCoW</t>
  </si>
  <si>
    <t xml:space="preserve">Sprint</t>
  </si>
  <si>
    <t xml:space="preserve">Estado</t>
  </si>
  <si>
    <t xml:space="preserve">Responsável</t>
  </si>
  <si>
    <t xml:space="preserve">Notas</t>
  </si>
  <si>
    <t xml:space="preserve">ID anterior</t>
  </si>
  <si>
    <t xml:space="preserve">US01</t>
  </si>
  <si>
    <t xml:space="preserve">E1</t>
  </si>
  <si>
    <t xml:space="preserve">Registo com email pessoal</t>
  </si>
  <si>
    <t xml:space="preserve">Como aluno, quero registar-me com o meu email pessoal.</t>
  </si>
  <si>
    <t xml:space="preserve">• São aceites emails pessoais
• A conta só fica ativa após confirmação por email (ou validação simulada em ambiente de teste).
• A palavra-passe é guardada com hash.
• O registo exige aceitação explícita da política de privacidade.</t>
  </si>
  <si>
    <t xml:space="preserve">Must</t>
  </si>
  <si>
    <t xml:space="preserve">Sprint 1</t>
  </si>
  <si>
    <t xml:space="preserve">Feito</t>
  </si>
  <si>
    <t xml:space="preserve">Código, testes e documentação no GitHub (PR #1 a #3 aceites).</t>
  </si>
  <si>
    <t xml:space="preserve">US02</t>
  </si>
  <si>
    <t xml:space="preserve">Autenticação</t>
  </si>
  <si>
    <t xml:space="preserve">Como aluno, quero iniciar e terminar sessão, para aceder às minhas avaliações e recomendações de forma segura.</t>
  </si>
  <si>
    <t xml:space="preserve">• Login com email e palavra-passe.
• Mensagem genérica em caso de erro.
• O logout termina a sessão.
• Páginas privadas redirecionam para o login.</t>
  </si>
  <si>
    <t xml:space="preserve">Código, testes e documentação no GitHub (PR #4 e #5 aceites, com o ícone para mostrar a palavra-passe).</t>
  </si>
  <si>
    <t xml:space="preserve">US03</t>
  </si>
  <si>
    <t xml:space="preserve">Perfis de aluno e administrador</t>
  </si>
  <si>
    <t xml:space="preserve">Como administrador, quero ter uma conta própria, separada das contas dos alunos e numa área escondida, para gerir a aplicação sem que os alunos vejam ou consigam usar essas funções.</t>
  </si>
  <si>
    <t xml:space="preserve">• Os administradores têm contas próprias (nome de utilizador, sem email), separadas dos alunos.
• O primeiro administrador é criado no terminal (flask --app app create-admin).
• A gestão tem início de sessão próprio, com mensagem genérica.
• A área de gestão está escondida: sem ligações nas páginas dos alunos e com endereço configurável.
• Um administrador cria e remove outros administradores (não a si próprio).</t>
  </si>
  <si>
    <t xml:space="preserve">Replaneamento de 07/10: story nova (o RF04 não tinha story). Revista pelos PO: administradores independentes e área escondida (3 → 5 SP). Código, testes e documentação no GitHub (PR #7 aceite). Revisão de 14/10 (PO): um só início de sessão para alunos e administradores, com os padrões Strategy, Chain of Responsibility e Factory (app/auth/perfis.py, PR #14).</t>
  </si>
  <si>
    <t xml:space="preserve">—</t>
  </si>
  <si>
    <t xml:space="preserve">US29</t>
  </si>
  <si>
    <t xml:space="preserve">E11</t>
  </si>
  <si>
    <t xml:space="preserve">Conversa de orientação com o LLM</t>
  </si>
  <si>
    <t xml:space="preserve">Como pessoa indecisa, quero conversar com um assistente que me vai fazendo perguntas sobre os meus interesses, para perceber o que procuro num curso sem preencher um questionário fixo.</t>
  </si>
  <si>
    <t xml:space="preserve">• As perguntas não são fixas: o LLM faz uma de cada vez, a partir das respostas anteriores, no máximo 6.
• A página avisa para não escrever dados pessoais; emails e números longos são apagados antes de enviar, e o LLM nunca recebe email, nome ou identificadores da conta (RNF12).
• Disponível com sessão iniciada (o limite diário do fornecedor é partilhado por todos os utilizadores).
• Se o LLM falhar, atingir o limite ou demorar mais de 15 s, aparece uma mensagem clara e a pessoa pode tentar de novo sem perder a conversa.
• A pessoa pode recomeçar a conversa.
• Os testes usam o LLM falso e correm sem rede.</t>
  </si>
  <si>
    <t xml:space="preserve">Sprint 2</t>
  </si>
  <si>
    <t xml:space="preserve">Por fazer</t>
  </si>
  <si>
    <t xml:space="preserve">Replaneamento de 13/10: story nova (questionário de perguntas fixas). 14/10: reescrita por decisão do PO — as perguntas deixam de ser fixas e o LLM conduz a conversa; absorve a US32. 3 → 5 SP (página de conversa, estado entre pedidos, erros do fornecedor). Base técnica feita no spike (PR #17: app/llm, app/orientacao). Antes de começar: decisão do PO sobre idade e plano do Gemini (docs/geral/05-spike-llm.md, secção 5). Atenção: a conversa não cabe no cookie de sessão (4 KB); tem de ficar no servidor.</t>
  </si>
  <si>
    <t xml:space="preserve">US30</t>
  </si>
  <si>
    <t xml:space="preserve">Sugestão de 2 a 3 cursos no fim da conversa</t>
  </si>
  <si>
    <t xml:space="preserve">Como pessoa indecisa, quero que a conversa termine com 2 a 3 cursos do catálogo, cada um com a explicação de porque combina comigo, para saber por onde começar.</t>
  </si>
  <si>
    <t xml:space="preserve">• A sugestão aparece quando o LLM tem informação suficiente ou ao fim de 6 respostas; a pessoa pode pedi-la antes («Ver sugestões»).
• Só aparecem cursos do catálogo; os outros são descartados (RN09). Se sobrarem menos de 2, a página diz isso e propõe continuar a conversa ou ver o catálogo.
• Cada curso mostra os dados do catálogo (instituição, localidade, vagas, nota do último colocado, ligação à DGES) e a explicação do LLM.
• Nenhum curso é atribuído automaticamente: a escolha é feita na US31 (RN10).
• Os testes usam o LLM falso, incluindo respostas com cursos inventados.</t>
  </si>
  <si>
    <t xml:space="preserve">Replaneamento de 13/10: story nova (sugestão a partir do questionário). 14/10: passa a ser o fim da conversa da US29 e passa do Sprint 3 para o Sprint 2 (decisão do PO). 8 → 3 SP: o fornecedor configurável, a validação contra o catálogo e os testes sem rede foram feitos no spike (PR #17).</t>
  </si>
  <si>
    <t xml:space="preserve">US31</t>
  </si>
  <si>
    <t xml:space="preserve">Escolher curso e linha do tempo do percurso</t>
  </si>
  <si>
    <t xml:space="preserve">Como utilizador, quero escolher um dos cursos sugeridos (ou outro do catálogo) e ver as decisões que fui tomando, para acompanhar o meu percurso.</t>
  </si>
  <si>
    <t xml:space="preserve">• A escolha nunca é automática: o utilizador confirma (RN10).
• Depois de escolher, o curso e a instituição ficam no perfil (RF03).
• Cada decisão fica registada com data, opções sugeridas e opção escolhida (RF35).
• Linha do tempo com as decisões, da mais recente para a mais antiga.
• O utilizador pode mudar de curso, o que cria uma nova decisão.</t>
  </si>
  <si>
    <t xml:space="preserve">Sprint 3</t>
  </si>
  <si>
    <t xml:space="preserve">Replaneamento de 13/10: story nova (nova visão do produto, sugestão do docente). 14/10: mantém-se no Sprint 3; a escolha parte das sugestões da US30.</t>
  </si>
  <si>
    <t xml:space="preserve">US05</t>
  </si>
  <si>
    <t xml:space="preserve">E2</t>
  </si>
  <si>
    <t xml:space="preserve">Consultar e comparar cursos</t>
  </si>
  <si>
    <t xml:space="preserve">Como pessoa indecisa, quero consultar e comparar cursos de várias instituições, para perceber as diferenças antes de decidir.</t>
  </si>
  <si>
    <t xml:space="preserve">• Filtros por área, instituição e localidade.
• Ficha de cada curso com descrição, saídas profissionais, vagas, nota do último colocado e ligação à fonte.
• Comparação de até 3 cursos lado a lado.
• Funciona sem sessão iniciada.</t>
  </si>
  <si>
    <t xml:space="preserve">Em curso</t>
  </si>
  <si>
    <t xml:space="preserve">Replaneamento de 07/10: passou de Sprint 1 para Sprint 2. Replaneamento de 13/10: passa de opcionais para cursos (nova visão); 3 → 5 SP. A consulta de opcionais fica na US11. 14/10: trabalho antecipado no PR #14 — pesquisa de cursos reais na página de apresentação (app/catalogo/, dados da DGES lidos do CSV). Falta: filtros por área/instituição/localidade, ficha completa do curso e comparação de até 3 cursos. 14/10: Sprint 2 → Sprint 3, para o LLM entrar no Sprint 2 com a velocidade real (10 SP).</t>
  </si>
  <si>
    <t xml:space="preserve">US04</t>
  </si>
  <si>
    <t xml:space="preserve">US06</t>
  </si>
  <si>
    <t xml:space="preserve">E3</t>
  </si>
  <si>
    <t xml:space="preserve">Registar percurso</t>
  </si>
  <si>
    <t xml:space="preserve">Como aluno, quero indicar as UCs do meu curso que já concluí e em que ano letivo, para que o sistema conheça o meu percurso.</t>
  </si>
  <si>
    <t xml:space="preserve">• O administrador importa as UCs de cada curso por CSV (código, nome, ano, semestre, ECTS, tipo, descrição).
• O aluno seleciona UCs do catálogo do seu curso.
• Não permite duplicados no mesmo ano letivo.
• O aluno pode remover um registo.</t>
  </si>
  <si>
    <t xml:space="preserve">Sprint 4</t>
  </si>
  <si>
    <t xml:space="preserve">Replaneamento de 07/10: passou de Sprint 1 para Sprint 2. Replaneamento de 13/10: Sprint 2 → Sprint 4; inclui a importação das UCs; 3 → 5 SP. 14/10: mantém-se no Sprint 4.</t>
  </si>
  <si>
    <t xml:space="preserve">US07</t>
  </si>
  <si>
    <t xml:space="preserve">Avaliar opcional concluída</t>
  </si>
  <si>
    <t xml:space="preserve">Como aluno, quero avaliar uma opcional que fiz em interesse, carga e dificuldade (1–5), para ajudar colegas que vão escolher a seguir.</t>
  </si>
  <si>
    <t xml:space="preserve">• Só aparecem cursos ou UCs do meu percurso (RN01).
• Os três campos são obrigatórios.
• Posso editar ou apagar a avaliação.
• Só é possível avaliar dentro de um período aberto (até à US16, o período está sempre aberto).
• As avaliações ficam ligadas a um pseudo_id desde o início, e não ao email (ponto 2 dos requisitos); as regras de visualização e exportação ficam na US09.</t>
  </si>
  <si>
    <t xml:space="preserve">Replaneamento de 07/10: passou de Sprint 1 para Sprint 2. Replaneamento de 13/10: Sprint 2 → Sprint 4. 14/10: fica no Sprint 4 sem a US09 (velocidade de 10 SP); por isso guarda já com pseudo_id.</t>
  </si>
  <si>
    <t xml:space="preserve">Importar catálogo de instituições e cursos</t>
  </si>
  <si>
    <t xml:space="preserve">Como administrador, quero importar instituições e cursos a partir de um ficheiro CSV, para que o catálogo tenha várias instituições sem introduzir os dados um a um.</t>
  </si>
  <si>
    <t xml:space="preserve">• Aceita o formato de dados/catalogo-cursos-mvp.csv (códigos DGES, curso, instituição, área, vagas, nota do último colocado, descrição, saídas, fontes).
• O CSV é validado (colunas obrigatórias, tipos, códigos duplicados).
• Linhas inválidas são reportadas sem bloquear as válidas.
• Reimportar atualiza cursos existentes pelo par código de instituição + código de curso.</t>
  </si>
  <si>
    <t xml:space="preserve">Should</t>
  </si>
  <si>
    <t xml:space="preserve">Backlog</t>
  </si>
  <si>
    <t xml:space="preserve">Replaneamento de 07/10: passou de Sprint 1 para Sprint 2. Replaneamento de 13/10: passa a importar instituições e cursos (nova visão). As UCs de cada curso entram com a US06. 14/10: Sprint 2 → Backlog, Must → Should: a aplicação já lê o catálogo do CSV (app/catalogo) e o LLM trabalha sobre ele; importar para a base de dados não muda nada para o utilizador nesta release.</t>
  </si>
  <si>
    <t xml:space="preserve">US09</t>
  </si>
  <si>
    <t xml:space="preserve">E4</t>
  </si>
  <si>
    <t xml:space="preserve">Avaliações pseudonimizadas</t>
  </si>
  <si>
    <t xml:space="preserve">Como aluno, quero que as minhas avaliações não fiquem associadas à minha identidade em nenhum ecrã, para poder avaliar com honestidade.</t>
  </si>
  <si>
    <t xml:space="preserve">• Avaliações ligadas ao pseudo_id e não ao email.
• Nenhuma página ou exportação de administrador mostra avaliações por aluno.
• Regra RN04 aplicada em todos os agregados.
• Teste automático que verifica RN04.</t>
  </si>
  <si>
    <t xml:space="preserve">Replaneamento de 13/10: Sprint 2 → Sprint 4, com a US07 para as avaliações serem anónimas desde o início. 14/10: Sprint 4 → Backlog, Must → Should (velocidade de 10 SP). A US07 guarda já com pseudo_id; sem agregados (US11) a RN04 ainda não se aplica.</t>
  </si>
  <si>
    <t xml:space="preserve">US11</t>
  </si>
  <si>
    <t xml:space="preserve">E5</t>
  </si>
  <si>
    <t xml:space="preserve">Recomendações de popularidade</t>
  </si>
  <si>
    <t xml:space="preserve">Como aluno com poucas avaliações, quero ver as opcionais mais bem avaliadas pelos colegas, para ter sugestões mesmo sem historial.</t>
  </si>
  <si>
    <t xml:space="preserve">• Aparece quando o aluno não cumpre RN05.
• A interface indica que são "populares" e não personalizadas.
• Nunca inclui UCs que o aluno já concluiu (RN03).
• Implementada como estratégia intercambiável (padrão Strategy, docs/geral/03).</t>
  </si>
  <si>
    <t xml:space="preserve">Replaneamento de 07/10: passou de Sprint 2 para Sprint 3. Replaneamento de 13/10: Sprint 3 → Sprint 4; segue o padrão Strategy. 14/10: Sprint 4 → Backlog, Must → Should (velocidade de 10 SP). Primeira candidata se houver um Sprint 5 ou folga.</t>
  </si>
  <si>
    <t xml:space="preserve">US08</t>
  </si>
  <si>
    <t xml:space="preserve">Avaliação rápida de obrigatórias</t>
  </si>
  <si>
    <t xml:space="preserve">Como aluno, quero avaliar rapidamente o interesse das obrigatórias que fiz numa só página, para que o sistema me conheça mesmo antes de eu ter feito opcionais.</t>
  </si>
  <si>
    <t xml:space="preserve">• Vista em grelha com todas as obrigatórias do percurso.
• Gravação de todas de uma vez.
• Avaliar 10 UCs demora menos de 2 minutos.</t>
  </si>
  <si>
    <t xml:space="preserve">Replaneamento de 07/10: passou de Sprint 1 para Sprint 2. Replaneamento de 13/10: Sprint 2 → Backlog (nova visão: orientação de curso primeiro). Replaneamento de 13/10: Must → Should nesta release.</t>
  </si>
  <si>
    <t xml:space="preserve">US10</t>
  </si>
  <si>
    <t xml:space="preserve">E9</t>
  </si>
  <si>
    <t xml:space="preserve">Dataset sintético</t>
  </si>
  <si>
    <t xml:space="preserve">Como equipa de desenvolvimento, queremos gerar um dataset sintético com perfis de aluno genéricos, para testar o motor antes de haver dados reais.</t>
  </si>
  <si>
    <t xml:space="preserve">• Parâmetros configuráveis (nº alunos, nº UCs, % de esparsidade, perfis).
• O motor recomenda UCs do perfil "plantado" na maioria dos casos.</t>
  </si>
  <si>
    <t xml:space="preserve">Replaneamento de 07/10: passou de Sprint 2 para Sprint 3. Replaneamento de 13/10: Sprint 3 → Backlog (nova visão: orientação de curso primeiro). Replaneamento de 13/10: Must → Should nesta release.</t>
  </si>
  <si>
    <t xml:space="preserve">US20</t>
  </si>
  <si>
    <t xml:space="preserve">US12</t>
  </si>
  <si>
    <t xml:space="preserve">Recomendações user-based</t>
  </si>
  <si>
    <t xml:space="preserve">Como aluno, quero receber uma lista das opcionais recomendadas com base em alunos com gostos parecidos com os meus, para escolher com mais confiança.</t>
  </si>
  <si>
    <t xml:space="preserve">• Top-5 por omissão, com nota prevista.
• Similaridade calculada só sobre UCs comuns
• Testes unitários com uma matriz pequena de resultado conhecido.
• Tempo de resposta &lt; 2 s (RNF03).</t>
  </si>
  <si>
    <t xml:space="preserve">US13</t>
  </si>
  <si>
    <t xml:space="preserve">E7</t>
  </si>
  <si>
    <t xml:space="preserve">Excluir UCs inválidas</t>
  </si>
  <si>
    <t xml:space="preserve">Como aluno, quero que não me sejam recomendadas UCs que já fiz ou que não são do meu curso/ano, para que a lista seja útil.</t>
  </si>
  <si>
    <t xml:space="preserve">• Aplica RN03 e as restrições de curso/ano.
• Teste automático cobre os três casos.</t>
  </si>
  <si>
    <t xml:space="preserve">US15</t>
  </si>
  <si>
    <t xml:space="preserve">US14</t>
  </si>
  <si>
    <t xml:space="preserve">E8</t>
  </si>
  <si>
    <t xml:space="preserve">Explicação da recomendação</t>
  </si>
  <si>
    <t xml:space="preserve">Como aluno, quero perceber porque me foi recomendada cada opcional, para confiar (ou não) na sugestão.</t>
  </si>
  <si>
    <t xml:space="preserve">• Cada item mostra o nº de colegas semelhantes e a média de interesse deles.
• Mostra carga e dificuldade médias (se RN04 o permitir).
• A explicação não revela identidades.</t>
  </si>
  <si>
    <t xml:space="preserve">Replaneamento de 13/10: Sprint 3 → Backlog (nova visão: orientação de curso primeiro). Replaneamento de 13/10: Must → Should nesta release.</t>
  </si>
  <si>
    <t xml:space="preserve">Avaliação offline do motor</t>
  </si>
  <si>
    <t xml:space="preserve">Como equipa de desenvolvimento, queremos medir a qualidade das recomendações escondendo avaliações reais, para demonstrar que o motor é melhor do que o baseline.</t>
  </si>
  <si>
    <t xml:space="preserve">• Divisão treino/teste reprodutível.
• RMSE, MAE, Precision@5 e cobertura calculados.
• Resultados guardados e comparáveis entre estratégias.</t>
  </si>
  <si>
    <t xml:space="preserve">Replaneamento de 07/10: passou de Sprint 3 para Sprint 4. Replaneamento de 13/10: Sprint 4 → Backlog (nova visão: orientação de curso primeiro). Replaneamento de 13/10: Must → Should nesta release.</t>
  </si>
  <si>
    <t xml:space="preserve">US21</t>
  </si>
  <si>
    <t xml:space="preserve">US16</t>
  </si>
  <si>
    <t xml:space="preserve">E10</t>
  </si>
  <si>
    <t xml:space="preserve">Períodos de avaliação</t>
  </si>
  <si>
    <t xml:space="preserve">Como administrador, quero abrir e fechar o período de avaliações de cada semestre, para que as avaliações sejam feitas depois de as UCs terminarem.</t>
  </si>
  <si>
    <t xml:space="preserve">• Definição de datas de abertura e fecho por semestre.
• Fora do período, o formulário de avaliação fica bloqueado com mensagem explicativa.</t>
  </si>
  <si>
    <t xml:space="preserve">Replaneamento de 07/10: passou de Sprint 3 para Sprint 4. Replaneamento de 13/10: Sprint 4 → Backlog (nova visão: orientação de curso primeiro).</t>
  </si>
  <si>
    <t xml:space="preserve">US24</t>
  </si>
  <si>
    <t xml:space="preserve">US17</t>
  </si>
  <si>
    <t xml:space="preserve">Exportar e apagar dados</t>
  </si>
  <si>
    <t xml:space="preserve">Como aluno, quero exportar ou apagar todos os meus dados, para exercer os meus direitos de privacidade.</t>
  </si>
  <si>
    <t xml:space="preserve">• Exportação em JSON/CSV.
• Apagar remove conta, percurso e avaliações.
• A ação pede confirmação.</t>
  </si>
  <si>
    <t xml:space="preserve">Replaneamento de 13/10: Sprint 4 → Backlog (nova visão: orientação de curso primeiro).</t>
  </si>
  <si>
    <t xml:space="preserve">US18</t>
  </si>
  <si>
    <t xml:space="preserve">Comentário livre</t>
  </si>
  <si>
    <t xml:space="preserve">Como aluno, quero deixar um comentário opcional numa avaliação, para partilhar informação que os números não mostram.</t>
  </si>
  <si>
    <t xml:space="preserve">• Máximo de 500 caracteres.
• O comentário aparece sem autor.
• Só é visível quando a UC tem ≥ 5 avaliações.
• Aviso para não incluir nomes de pessoas.</t>
  </si>
  <si>
    <t xml:space="preserve">US19</t>
  </si>
  <si>
    <t xml:space="preserve">Moderar comentários</t>
  </si>
  <si>
    <t xml:space="preserve">Como administrador, quero ocultar comentários inapropriados, para manter a plataforma útil e respeitosa.</t>
  </si>
  <si>
    <t xml:space="preserve">• Lista de comentários sem autor.
• Ocultar e repor comentários.
• Os alunos podem sinalizar comentários.</t>
  </si>
  <si>
    <t xml:space="preserve">US25</t>
  </si>
  <si>
    <t xml:space="preserve">Filtrar por semestre e ECTS</t>
  </si>
  <si>
    <t xml:space="preserve">Como aluno, quero filtrar as recomendações por semestre e ECTS, para ver só o que se aplica à minha escolha atual.</t>
  </si>
  <si>
    <t xml:space="preserve">• Filtros combináveis.
• A lista atualiza sem perder a ordenação da recomendação.</t>
  </si>
  <si>
    <t xml:space="preserve">Preferência de carga de trabalho</t>
  </si>
  <si>
    <t xml:space="preserve">Como aluno, quero indicar se prefiro uma opcional leve ou exigente, para que as recomendações se ajustem ao meu semestre.</t>
  </si>
  <si>
    <t xml:space="preserve">• Três opções (leve / indiferente / exigente).
• A ordenação muda de forma visível.
• "Indiferente" mantém a ordenação original.</t>
  </si>
  <si>
    <t xml:space="preserve">Replaneamento de 07/10: passou de Sprint 3 para Backlog.</t>
  </si>
  <si>
    <t xml:space="preserve">US22</t>
  </si>
  <si>
    <t xml:space="preserve">E6</t>
  </si>
  <si>
    <t xml:space="preserve">Comparação de estratégias</t>
  </si>
  <si>
    <t xml:space="preserve">Como administrador, quero ver uma tabela comparativa das métricas de cada estratégia e escolher qual está ativa, para usar a melhor.</t>
  </si>
  <si>
    <t xml:space="preserve">• Tabela baseline vs. user-based vs. SVD.
• A estratégia ativa muda sem reiniciar a aplicação.</t>
  </si>
  <si>
    <t xml:space="preserve">Replaneamento de 07/10: passou de Sprint 4 para Backlog. Depende do SVD (antiga US22), que também ficou fora do plano.</t>
  </si>
  <si>
    <t xml:space="preserve">US23</t>
  </si>
  <si>
    <t xml:space="preserve">Esconder UCs sem vagas</t>
  </si>
  <si>
    <t xml:space="preserve">Como aluno, quero ver apenas opcionais com vagas, para não perder tempo com UCs já cheias.</t>
  </si>
  <si>
    <t xml:space="preserve">• O administrador atualiza vagas (manual ou CSV).
• UCs com 0 vagas não aparecem, com opção "mostrar todas".</t>
  </si>
  <si>
    <t xml:space="preserve">Could</t>
  </si>
  <si>
    <t xml:space="preserve">Entra no Sprint 4 se houver folga de velocidade.</t>
  </si>
  <si>
    <t xml:space="preserve">Feedback sobre recomendações</t>
  </si>
  <si>
    <t xml:space="preserve">Como aluno, quero marcar uma recomendação como útil, não útil ou ocultá-la, para que a lista reflita o que me interessa.</t>
  </si>
  <si>
    <t xml:space="preserve">• UCs ocultas deixam de aparecer.
• O feedback fica registado para análise.</t>
  </si>
  <si>
    <t xml:space="preserve">Painel de participação</t>
  </si>
  <si>
    <t xml:space="preserve">Como administrador, quero ver quantos alunos avaliaram e quão esparsa está a matriz, para saber se o motor tem dados suficientes.</t>
  </si>
  <si>
    <t xml:space="preserve">• Mostra nº de alunos, nº de avaliações e % de células preenchidas.
• Mostra avaliações por UC (sem identificar alunos).</t>
  </si>
  <si>
    <t xml:space="preserve">US26</t>
  </si>
  <si>
    <t xml:space="preserve">Filtragem baseada em itens</t>
  </si>
  <si>
    <t xml:space="preserve">Como aluno, quero ver "quem gostou desta UC também gostou de…" na página de cada opcional, para descobrir alternativas semelhantes.</t>
  </si>
  <si>
    <t xml:space="preserve">• Similaridade entre UCs calculada a partir das avaliações.
• Mostra até 3 UCs semelhantes, respeitando RN04.</t>
  </si>
  <si>
    <t xml:space="preserve">US27</t>
  </si>
  <si>
    <t xml:space="preserve">Evitar conflitos de horário</t>
  </si>
  <si>
    <t xml:space="preserve">Como aluno, quero indicar o meu horário para que não me sejam recomendadas opcionais que colidam com ele.</t>
  </si>
  <si>
    <t xml:space="preserve">• O aluno marca blocos ocupados.
• UCs com sobreposição são excluídas.
• O administrador importa horários das UCs.</t>
  </si>
  <si>
    <t xml:space="preserve">US28</t>
  </si>
  <si>
    <t xml:space="preserve">Lembretes de avaliação</t>
  </si>
  <si>
    <t xml:space="preserve">Como aluno, quero receber um lembrete no fim do semestre para avaliar as UCs que fiz, para não me esquecer de contribuir.</t>
  </si>
  <si>
    <t xml:space="preserve">• Email enviado na abertura do período de avaliação.
• O aluno pode desativar lembretes.</t>
  </si>
  <si>
    <t xml:space="preserve">Won't</t>
  </si>
  <si>
    <t xml:space="preserve">US32</t>
  </si>
  <si>
    <t xml:space="preserve">Assistente LLM que conversa com o utilizador</t>
  </si>
  <si>
    <t xml:space="preserve">Como pessoa indecisa, quero conversar com um assistente que me faça perguntas e me ajude a perceber que cursos e opcionais fazem sentido para mim, para decidir com mais confiança.</t>
  </si>
  <si>
    <t xml:space="preserve">• Fundida na US29 a 14/10/2026 (decisão do PO na issue #15): a conversa com o assistente passa a ser a própria orientação. A sugestão de cursos é a US30.</t>
  </si>
  <si>
    <t xml:space="preserve">Fundida</t>
  </si>
  <si>
    <t xml:space="preserve">14/10: pedido do PO para verificar a inserção de um agente LLM. No mesmo dia, o PO decidiu que o LLM conduz a conversa: a story foi fundida na US29. O ID fica, para a rastreabilidade.</t>
  </si>
  <si>
    <t xml:space="preserve">nova</t>
  </si>
  <si>
    <t xml:space="preserve">Total de story points</t>
  </si>
  <si>
    <t xml:space="preserve">Story points concluídos (Estado = Feito)</t>
  </si>
  <si>
    <t xml:space="preserve">Nota: a fatorização de matrizes (SVD, antiga US22) fica fora do plano da release. Épico E11 (novo): Orientação de curso.</t>
  </si>
  <si>
    <t xml:space="preserve">Plano de sprints — Recomendador de UCs Opcionais</t>
  </si>
  <si>
    <t xml:space="preserve">Calculado a partir da folha «Product Backlog»: mudar o Sprint ou o Estado de uma story lá atualiza esta tabela.</t>
  </si>
  <si>
    <t xml:space="preserve">Velocidade por sprint (SP) — real do Sprint 1</t>
  </si>
  <si>
    <t xml:space="preserve">Sprint Goal</t>
  </si>
  <si>
    <t xml:space="preserve">Stories</t>
  </si>
  <si>
    <t xml:space="preserve">SP planeados</t>
  </si>
  <si>
    <t xml:space="preserve">SP feitos</t>
  </si>
  <si>
    <t xml:space="preserve">% feito</t>
  </si>
  <si>
    <t xml:space="preserve">Folga face à velocidade</t>
  </si>
  <si>
    <t xml:space="preserve">Nº stories</t>
  </si>
  <si>
    <t xml:space="preserve">Um aluno cria conta, entra e sai, e há um administrador com permissões próprias.</t>
  </si>
  <si>
    <t xml:space="preserve">US01, US02, US03</t>
  </si>
  <si>
    <t xml:space="preserve">Uma pessoa indecisa conversa com o assistente (LLM), que lhe faz perguntas e lhe sugere 2 a 3 cursos do catálogo com explicação.</t>
  </si>
  <si>
    <t xml:space="preserve">US29, US30</t>
  </si>
  <si>
    <t xml:space="preserve">O utilizador escolhe um curso sugerido (fica registado no percurso) e consulta e compara cursos de várias instituições.</t>
  </si>
  <si>
    <t xml:space="preserve">US31, US05</t>
  </si>
  <si>
    <t xml:space="preserve">Quem já é aluno regista as UCs que concluiu e avalia as opcionais que fez, com as avaliações pseudonimizadas desde o início.</t>
  </si>
  <si>
    <t xml:space="preserve">US06, US07</t>
  </si>
  <si>
    <t xml:space="preserve">Fora do plano desta release; entra se houver folga.</t>
  </si>
  <si>
    <t xml:space="preserve">US04, US09, US11, US08, US10, US12–US28 (US32 fundida na US29)</t>
  </si>
  <si>
    <t xml:space="preserve">Total</t>
  </si>
  <si>
    <t xml:space="preserve">Replaneamento de 07/10/2026 (decisão do Product Owner)</t>
  </si>
  <si>
    <t xml:space="preserve">• O Sprint 1 tinha 24 SP planeados e a equipa concluiu 5 (registo e autenticação): o plano foi ajustado à velocidade real.</t>
  </si>
  <si>
    <t xml:space="preserve">• Story nova: US03 — Perfis de aluno e administrador (RF04, que não tinha story). Entra no Sprint 1 porque a importação do catálogo (US04) precisa de um administrador.</t>
  </si>
  <si>
    <t xml:space="preserve">• As stories do catálogo, percurso e avaliações (US04 a US08) passam do Sprint 1 para o Sprint 2, com a pseudonimização (US09) para as avaliações serem anónimas desde o início.</t>
  </si>
  <si>
    <t xml:space="preserve">• A explicação da recomendação passa para o Sprint 3; avaliação offline, períodos de avaliação, comentários e filtros para o Sprint 4.</t>
  </si>
  <si>
    <t xml:space="preserve">• Preferência de carga e comparação de estratégias passam para o Backlog; o SVD (antiga US22) fica fora do plano.</t>
  </si>
  <si>
    <t xml:space="preserve">• Escala das avaliações corrigida de 1–20 para 1–5 (igual ao resto do projeto).</t>
  </si>
  <si>
    <t xml:space="preserve">• As stories foram renumeradas pela nova ordem (US01 a US28). A coluna «ID anterior» da folha «Product Backlog» mostra o número antigo.</t>
  </si>
  <si>
    <t xml:space="preserve">Replaneamento de 13/10/2026 (decisão dos Product Owners, com sugestões do docente)</t>
  </si>
  <si>
    <t xml:space="preserve">• Nova visão do produto: o utilizador pode ainda não ter curso; o OptaBem orienta a escolha do curso e depois a das opcionais (docs/geral/00-visao-do-produto.md).</t>
  </si>
  <si>
    <t xml:space="preserve">• Catálogo com várias instituições: MVP com 12 instituições e 30 licenciaturas (dados/catalogo-cursos-mvp.csv, fonte DGES).</t>
  </si>
  <si>
    <t xml:space="preserve">• Stories novas: US29 (questionário), US30 (sugestão de cursos com LLM) e US31 (escolher curso e linha do tempo). Épico novo E11.</t>
  </si>
  <si>
    <t xml:space="preserve">• US04 e US05 passam a tratar instituições e cursos; US06 inclui a importação das UCs e passa para o Sprint 4.</t>
  </si>
  <si>
    <t xml:space="preserve">• US08, US10 e US12 a US20 passam para o Backlog; as que eram Must passam a Should nesta release.</t>
  </si>
  <si>
    <t xml:space="preserve">• A partir de 13/10 os IDs ficam fixos (stories novas recebem o número seguinte). A ordem de trabalho é a deste plano.</t>
  </si>
  <si>
    <t xml:space="preserve">• Atenção: o plano soma 13, 13 e 18 SP; a velocidade real do Sprint 1 foi 10 SP (ponto 10 da secção 5 dos requisitos).</t>
  </si>
  <si>
    <t xml:space="preserve">Revisão de 14/10/2026 (decisões dos Product Owners)</t>
  </si>
  <si>
    <t xml:space="preserve">• US03 revista: um só início de sessão para alunos e administradores (design patterns Strategy, Chain of Responsibility e Factory).</t>
  </si>
  <si>
    <t xml:space="preserve">• US05 começada antes do Sprint 2: pesquisa de cursos reais na página de apresentação. Os SP contam no Sprint 2, quando a story estiver completa.</t>
  </si>
  <si>
    <t xml:space="preserve">• Story nova US32 (assistente LLM que conversa com o utilizador), no Backlog e por avaliar: decidir âmbito, custo e privacidade antes de estimar.</t>
  </si>
  <si>
    <t xml:space="preserve">• Redesenho visual do site (sem story própria): fica registado no PR #14 e no registo de uso de IA.</t>
  </si>
  <si>
    <t xml:space="preserve">Replaneamento de 14/10/2026 (decisão do PO na issue #15)</t>
  </si>
  <si>
    <t xml:space="preserve">• As perguntas deixam de ser fixas: o LLM conduz a conversa. US29 reescrita (conversa, 5 SP) e US32 fundida nela; US30 passa a ser o fim da conversa (3 SP).</t>
  </si>
  <si>
    <t xml:space="preserve">• Spike técnico feito antes do Sprint 2 (PR #17): Gemini e Groq atrás de ClienteLLM, testes sem rede, conclusões em docs/geral/05-spike-llm.md. Não tem SP.</t>
  </si>
  <si>
    <t xml:space="preserve">• O LLM passa para o Sprint 2. Velocidade ajustada à real (de 23 para 10 SP): Sprint 2 com 8 SP (2 de folga pela tecnologia nova), Sprints 3 e 4 com 10 SP.</t>
  </si>
  <si>
    <t xml:space="preserve">• US05 passa para o Sprint 3. US04, US09 e US11 passam para o Backlog (Must → Should). A US07 guarda as avaliações com pseudo_id desde o início.</t>
  </si>
  <si>
    <t xml:space="preserve">• Consequência: nesta release não há recomendação de opcionais (US11). Se houver um Sprint 5, entram primeiro a US09 e a US11 (8 SP).</t>
  </si>
  <si>
    <t xml:space="preserve">• Por decidir antes do Sprint 2: idade mínima e plano do Gemini (os termos excluem menores de 18 e o plano gratuito com utilizadores no EEE).</t>
  </si>
  <si>
    <t xml:space="preserve">Resumo por prioridade (MoSCoW)</t>
  </si>
  <si>
    <t xml:space="preserve">Prioridade</t>
  </si>
  <si>
    <t xml:space="preserve">Significado</t>
  </si>
  <si>
    <t xml:space="preserve">SP total</t>
  </si>
  <si>
    <t xml:space="preserve">% do total de SP</t>
  </si>
  <si>
    <t xml:space="preserve">Obrigatório para o produto fazer sentido</t>
  </si>
  <si>
    <t xml:space="preserve">Importante, mas o produto funciona sem</t>
  </si>
  <si>
    <t xml:space="preserve">Desejável se houver folga</t>
  </si>
  <si>
    <t xml:space="preserve">Fora desta release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</si>
</sst>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;[RED]\-0;0"/>
    <numFmt numFmtId="167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EDE4F5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DE4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EDE4F5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EDEDED"/>
        </patternFill>
      </fill>
    </dxf>
    <dxf>
      <fill>
        <patternFill>
          <bgColor rgb="FFFCE4D6"/>
        </patternFill>
      </fill>
    </dxf>
    <dxf>
      <fill>
        <patternFill>
          <bgColor rgb="FFEDE4F5"/>
        </patternFill>
      </fill>
    </dxf>
    <dxf>
      <font>
        <color rgb="FF80808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4F5"/>
      <rgbColor rgb="FFFCE4D6"/>
      <rgbColor rgb="FFEDEDED"/>
      <rgbColor rgb="FFF8CBAD"/>
      <rgbColor rgb="FF4F81BD"/>
      <rgbColor rgb="FF33CCCC"/>
      <rgbColor rgb="FF99CC00"/>
      <rgbColor rgb="FFFFCC00"/>
      <rgbColor rgb="FFFF9900"/>
      <rgbColor rgb="FFFF6600"/>
      <rgbColor rgb="FF595959"/>
      <rgbColor rgb="FFB3B3B3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Story points por sprint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'Plano de sprints'!D5</c:f>
              <c:strCache>
                <c:ptCount val="1"/>
                <c:pt idx="0">
                  <c:v>SP planeados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sprints'!$D$6:$D$9</c:f>
              <c:numCache>
                <c:formatCode>General</c:formatCode>
                <c:ptCount val="4"/>
                <c:pt idx="0">
                  <c:v>10</c:v>
                </c:pt>
                <c:pt idx="1">
                  <c:v>8</c:v>
                </c:pt>
                <c:pt idx="2">
                  <c:v>10</c:v>
                </c:pt>
                <c:pt idx="3">
                  <c:v>10</c:v>
                </c:pt>
              </c:numCache>
            </c:numRef>
          </c:val>
        </c:ser>
        <c:ser>
          <c:idx val="1"/>
          <c:order val="1"/>
          <c:tx>
            <c:strRef>
              <c:f>'Plano de sprints'!E5</c:f>
              <c:strCache>
                <c:ptCount val="1"/>
                <c:pt idx="0">
                  <c:v>SP feitos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sprints'!$E$6:$E$9</c:f>
              <c:numCache>
                <c:formatCode>General</c:formatCode>
                <c:ptCount val="4"/>
                <c:pt idx="0">
                  <c:v>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13824179"/>
        <c:axId val="52095193"/>
      </c:barChart>
      <c:catAx>
        <c:axId val="138241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095193"/>
        <c:crosses val="autoZero"/>
        <c:auto val="1"/>
        <c:lblAlgn val="ctr"/>
        <c:lblOffset val="100"/>
        <c:noMultiLvlLbl val="0"/>
      </c:catAx>
      <c:valAx>
        <c:axId val="52095193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82417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48600</xdr:rowOff>
    </xdr:from>
    <xdr:to>
      <xdr:col>2</xdr:col>
      <xdr:colOff>2092320</xdr:colOff>
      <xdr:row>24</xdr:row>
      <xdr:rowOff>89280</xdr:rowOff>
    </xdr:to>
    <xdr:graphicFrame>
      <xdr:nvGraphicFramePr>
        <xdr:cNvPr id="0" name="Chart 1"/>
        <xdr:cNvGraphicFramePr/>
      </xdr:nvGraphicFramePr>
      <xdr:xfrm>
        <a:off x="775440" y="3992040"/>
        <a:ext cx="5757480" cy="2517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K15" activeCellId="0" sqref="K1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"/>
    <col collapsed="false" customWidth="true" hidden="false" outlineLevel="0" max="3" min="2" style="1" width="7"/>
    <col collapsed="false" customWidth="true" hidden="false" outlineLevel="0" max="4" min="4" style="1" width="24"/>
    <col collapsed="false" customWidth="true" hidden="false" outlineLevel="0" max="5" min="5" style="1" width="48"/>
    <col collapsed="false" customWidth="true" hidden="false" outlineLevel="0" max="6" min="6" style="1" width="52"/>
    <col collapsed="false" customWidth="true" hidden="false" outlineLevel="0" max="7" min="7" style="1" width="6"/>
    <col collapsed="false" customWidth="true" hidden="false" outlineLevel="0" max="8" min="8" style="1" width="9"/>
    <col collapsed="false" customWidth="true" hidden="false" outlineLevel="0" max="10" min="9" style="1" width="11"/>
    <col collapsed="false" customWidth="true" hidden="false" outlineLevel="0" max="11" min="11" style="1" width="14"/>
    <col collapsed="false" customWidth="true" hidden="false" outlineLevel="0" max="12" min="12" style="1" width="24"/>
    <col collapsed="false" customWidth="true" hidden="false" outlineLevel="0" max="13" min="13" style="1" width="10"/>
  </cols>
  <sheetData>
    <row r="1" customFormat="false" ht="17.25" hidden="false" customHeight="true" outlineLevel="0" collapsed="false">
      <c r="A1" s="2" t="s">
        <v>0</v>
      </c>
    </row>
    <row r="2" customFormat="false" ht="14.25" hidden="false" customHeight="true" outlineLevel="0" collapsed="false">
      <c r="A2" s="3" t="s">
        <v>1</v>
      </c>
    </row>
    <row r="4" customFormat="false" ht="26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75" hidden="false" customHeight="true" outlineLevel="0" collapsed="false">
      <c r="A5" s="5" t="n">
        <v>1</v>
      </c>
      <c r="B5" s="5" t="s">
        <v>15</v>
      </c>
      <c r="C5" s="5" t="s">
        <v>16</v>
      </c>
      <c r="D5" s="6" t="s">
        <v>17</v>
      </c>
      <c r="E5" s="6" t="s">
        <v>18</v>
      </c>
      <c r="F5" s="6" t="s">
        <v>19</v>
      </c>
      <c r="G5" s="7" t="n">
        <v>3</v>
      </c>
      <c r="H5" s="5" t="s">
        <v>20</v>
      </c>
      <c r="I5" s="7" t="s">
        <v>21</v>
      </c>
      <c r="J5" s="7" t="s">
        <v>22</v>
      </c>
      <c r="K5" s="8"/>
      <c r="L5" s="8" t="s">
        <v>23</v>
      </c>
      <c r="M5" s="5" t="s">
        <v>15</v>
      </c>
    </row>
    <row r="6" customFormat="false" ht="75" hidden="false" customHeight="true" outlineLevel="0" collapsed="false">
      <c r="A6" s="5" t="n">
        <v>2</v>
      </c>
      <c r="B6" s="5" t="s">
        <v>24</v>
      </c>
      <c r="C6" s="5" t="s">
        <v>16</v>
      </c>
      <c r="D6" s="6" t="s">
        <v>25</v>
      </c>
      <c r="E6" s="6" t="s">
        <v>26</v>
      </c>
      <c r="F6" s="6" t="s">
        <v>27</v>
      </c>
      <c r="G6" s="7" t="n">
        <v>2</v>
      </c>
      <c r="H6" s="5" t="s">
        <v>20</v>
      </c>
      <c r="I6" s="7" t="s">
        <v>21</v>
      </c>
      <c r="J6" s="7" t="s">
        <v>22</v>
      </c>
      <c r="K6" s="8"/>
      <c r="L6" s="8" t="s">
        <v>28</v>
      </c>
      <c r="M6" s="5" t="s">
        <v>24</v>
      </c>
    </row>
    <row r="7" customFormat="false" ht="75" hidden="false" customHeight="true" outlineLevel="0" collapsed="false">
      <c r="A7" s="5" t="n">
        <v>3</v>
      </c>
      <c r="B7" s="5" t="s">
        <v>29</v>
      </c>
      <c r="C7" s="5" t="s">
        <v>16</v>
      </c>
      <c r="D7" s="6" t="s">
        <v>30</v>
      </c>
      <c r="E7" s="6" t="s">
        <v>31</v>
      </c>
      <c r="F7" s="6" t="s">
        <v>32</v>
      </c>
      <c r="G7" s="7" t="n">
        <v>5</v>
      </c>
      <c r="H7" s="5" t="s">
        <v>20</v>
      </c>
      <c r="I7" s="7" t="s">
        <v>21</v>
      </c>
      <c r="J7" s="7" t="s">
        <v>22</v>
      </c>
      <c r="K7" s="8"/>
      <c r="L7" s="8" t="s">
        <v>33</v>
      </c>
      <c r="M7" s="5" t="s">
        <v>34</v>
      </c>
    </row>
    <row r="8" customFormat="false" ht="139.5" hidden="false" customHeight="true" outlineLevel="0" collapsed="false">
      <c r="A8" s="5" t="n">
        <v>4</v>
      </c>
      <c r="B8" s="5" t="s">
        <v>35</v>
      </c>
      <c r="C8" s="5" t="s">
        <v>36</v>
      </c>
      <c r="D8" s="6" t="s">
        <v>37</v>
      </c>
      <c r="E8" s="6" t="s">
        <v>38</v>
      </c>
      <c r="F8" s="6" t="s">
        <v>39</v>
      </c>
      <c r="G8" s="7" t="n">
        <v>5</v>
      </c>
      <c r="H8" s="5" t="s">
        <v>20</v>
      </c>
      <c r="I8" s="7" t="s">
        <v>40</v>
      </c>
      <c r="J8" s="7" t="s">
        <v>41</v>
      </c>
      <c r="K8" s="8"/>
      <c r="L8" s="8" t="s">
        <v>42</v>
      </c>
      <c r="M8" s="5" t="s">
        <v>34</v>
      </c>
    </row>
    <row r="9" customFormat="false" ht="139.5" hidden="false" customHeight="true" outlineLevel="0" collapsed="false">
      <c r="A9" s="5" t="n">
        <v>5</v>
      </c>
      <c r="B9" s="5" t="s">
        <v>43</v>
      </c>
      <c r="C9" s="5" t="s">
        <v>36</v>
      </c>
      <c r="D9" s="6" t="s">
        <v>44</v>
      </c>
      <c r="E9" s="6" t="s">
        <v>45</v>
      </c>
      <c r="F9" s="6" t="s">
        <v>46</v>
      </c>
      <c r="G9" s="7" t="n">
        <v>3</v>
      </c>
      <c r="H9" s="5" t="s">
        <v>20</v>
      </c>
      <c r="I9" s="7" t="s">
        <v>40</v>
      </c>
      <c r="J9" s="7" t="s">
        <v>41</v>
      </c>
      <c r="K9" s="8"/>
      <c r="L9" s="8" t="s">
        <v>47</v>
      </c>
      <c r="M9" s="5" t="s">
        <v>34</v>
      </c>
    </row>
    <row r="10" customFormat="false" ht="75" hidden="false" customHeight="true" outlineLevel="0" collapsed="false">
      <c r="A10" s="5" t="n">
        <v>6</v>
      </c>
      <c r="B10" s="5" t="s">
        <v>48</v>
      </c>
      <c r="C10" s="5" t="s">
        <v>36</v>
      </c>
      <c r="D10" s="6" t="s">
        <v>49</v>
      </c>
      <c r="E10" s="6" t="s">
        <v>50</v>
      </c>
      <c r="F10" s="6" t="s">
        <v>51</v>
      </c>
      <c r="G10" s="7" t="n">
        <v>5</v>
      </c>
      <c r="H10" s="5" t="s">
        <v>20</v>
      </c>
      <c r="I10" s="7" t="s">
        <v>52</v>
      </c>
      <c r="J10" s="7" t="s">
        <v>41</v>
      </c>
      <c r="K10" s="8"/>
      <c r="L10" s="8" t="s">
        <v>53</v>
      </c>
      <c r="M10" s="5" t="s">
        <v>34</v>
      </c>
    </row>
    <row r="11" customFormat="false" ht="75" hidden="false" customHeight="true" outlineLevel="0" collapsed="false">
      <c r="A11" s="5" t="n">
        <v>7</v>
      </c>
      <c r="B11" s="5" t="s">
        <v>54</v>
      </c>
      <c r="C11" s="5" t="s">
        <v>55</v>
      </c>
      <c r="D11" s="6" t="s">
        <v>56</v>
      </c>
      <c r="E11" s="6" t="s">
        <v>57</v>
      </c>
      <c r="F11" s="6" t="s">
        <v>58</v>
      </c>
      <c r="G11" s="7" t="n">
        <v>5</v>
      </c>
      <c r="H11" s="5" t="s">
        <v>20</v>
      </c>
      <c r="I11" s="7" t="s">
        <v>52</v>
      </c>
      <c r="J11" s="7" t="s">
        <v>59</v>
      </c>
      <c r="K11" s="8"/>
      <c r="L11" s="8" t="s">
        <v>60</v>
      </c>
      <c r="M11" s="5" t="s">
        <v>61</v>
      </c>
    </row>
    <row r="12" customFormat="false" ht="75" hidden="false" customHeight="true" outlineLevel="0" collapsed="false">
      <c r="A12" s="5" t="n">
        <v>8</v>
      </c>
      <c r="B12" s="5" t="s">
        <v>62</v>
      </c>
      <c r="C12" s="5" t="s">
        <v>63</v>
      </c>
      <c r="D12" s="6" t="s">
        <v>64</v>
      </c>
      <c r="E12" s="6" t="s">
        <v>65</v>
      </c>
      <c r="F12" s="6" t="s">
        <v>66</v>
      </c>
      <c r="G12" s="7" t="n">
        <v>5</v>
      </c>
      <c r="H12" s="5" t="s">
        <v>20</v>
      </c>
      <c r="I12" s="7" t="s">
        <v>67</v>
      </c>
      <c r="J12" s="7" t="s">
        <v>41</v>
      </c>
      <c r="K12" s="8"/>
      <c r="L12" s="8" t="s">
        <v>68</v>
      </c>
      <c r="M12" s="5" t="s">
        <v>54</v>
      </c>
    </row>
    <row r="13" customFormat="false" ht="75" hidden="false" customHeight="true" outlineLevel="0" collapsed="false">
      <c r="A13" s="5" t="n">
        <v>9</v>
      </c>
      <c r="B13" s="5" t="s">
        <v>69</v>
      </c>
      <c r="C13" s="5" t="s">
        <v>63</v>
      </c>
      <c r="D13" s="6" t="s">
        <v>70</v>
      </c>
      <c r="E13" s="6" t="s">
        <v>71</v>
      </c>
      <c r="F13" s="6" t="s">
        <v>72</v>
      </c>
      <c r="G13" s="7" t="n">
        <v>5</v>
      </c>
      <c r="H13" s="5" t="s">
        <v>20</v>
      </c>
      <c r="I13" s="7" t="s">
        <v>67</v>
      </c>
      <c r="J13" s="7" t="s">
        <v>41</v>
      </c>
      <c r="K13" s="8"/>
      <c r="L13" s="8" t="s">
        <v>73</v>
      </c>
      <c r="M13" s="5" t="s">
        <v>62</v>
      </c>
    </row>
    <row r="14" customFormat="false" ht="75" hidden="false" customHeight="true" outlineLevel="0" collapsed="false">
      <c r="A14" s="5" t="n">
        <v>10</v>
      </c>
      <c r="B14" s="5" t="s">
        <v>61</v>
      </c>
      <c r="C14" s="5" t="s">
        <v>55</v>
      </c>
      <c r="D14" s="6" t="s">
        <v>74</v>
      </c>
      <c r="E14" s="6" t="s">
        <v>75</v>
      </c>
      <c r="F14" s="6" t="s">
        <v>76</v>
      </c>
      <c r="G14" s="7" t="n">
        <v>5</v>
      </c>
      <c r="H14" s="5" t="s">
        <v>77</v>
      </c>
      <c r="I14" s="7" t="s">
        <v>78</v>
      </c>
      <c r="J14" s="7" t="s">
        <v>41</v>
      </c>
      <c r="K14" s="8"/>
      <c r="L14" s="8" t="s">
        <v>79</v>
      </c>
      <c r="M14" s="5" t="s">
        <v>29</v>
      </c>
    </row>
    <row r="15" customFormat="false" ht="75" hidden="false" customHeight="true" outlineLevel="0" collapsed="false">
      <c r="A15" s="5" t="n">
        <v>11</v>
      </c>
      <c r="B15" s="5" t="s">
        <v>80</v>
      </c>
      <c r="C15" s="5" t="s">
        <v>81</v>
      </c>
      <c r="D15" s="6" t="s">
        <v>82</v>
      </c>
      <c r="E15" s="6" t="s">
        <v>83</v>
      </c>
      <c r="F15" s="6" t="s">
        <v>84</v>
      </c>
      <c r="G15" s="7" t="n">
        <v>5</v>
      </c>
      <c r="H15" s="5" t="s">
        <v>77</v>
      </c>
      <c r="I15" s="7" t="s">
        <v>78</v>
      </c>
      <c r="J15" s="7" t="s">
        <v>41</v>
      </c>
      <c r="K15" s="8"/>
      <c r="L15" s="8" t="s">
        <v>85</v>
      </c>
      <c r="M15" s="5" t="s">
        <v>80</v>
      </c>
    </row>
    <row r="16" customFormat="false" ht="75" hidden="false" customHeight="true" outlineLevel="0" collapsed="false">
      <c r="A16" s="5" t="n">
        <v>12</v>
      </c>
      <c r="B16" s="5" t="s">
        <v>86</v>
      </c>
      <c r="C16" s="5" t="s">
        <v>87</v>
      </c>
      <c r="D16" s="6" t="s">
        <v>88</v>
      </c>
      <c r="E16" s="6" t="s">
        <v>89</v>
      </c>
      <c r="F16" s="6" t="s">
        <v>90</v>
      </c>
      <c r="G16" s="7" t="n">
        <v>3</v>
      </c>
      <c r="H16" s="5" t="s">
        <v>77</v>
      </c>
      <c r="I16" s="7" t="s">
        <v>78</v>
      </c>
      <c r="J16" s="7" t="s">
        <v>41</v>
      </c>
      <c r="K16" s="8"/>
      <c r="L16" s="8" t="s">
        <v>91</v>
      </c>
      <c r="M16" s="5" t="s">
        <v>86</v>
      </c>
    </row>
    <row r="17" customFormat="false" ht="75" hidden="false" customHeight="true" outlineLevel="0" collapsed="false">
      <c r="A17" s="5" t="n">
        <v>13</v>
      </c>
      <c r="B17" s="5" t="s">
        <v>92</v>
      </c>
      <c r="C17" s="5" t="s">
        <v>63</v>
      </c>
      <c r="D17" s="6" t="s">
        <v>93</v>
      </c>
      <c r="E17" s="6" t="s">
        <v>94</v>
      </c>
      <c r="F17" s="6" t="s">
        <v>95</v>
      </c>
      <c r="G17" s="7" t="n">
        <v>3</v>
      </c>
      <c r="H17" s="5" t="s">
        <v>77</v>
      </c>
      <c r="I17" s="7" t="s">
        <v>78</v>
      </c>
      <c r="J17" s="7" t="s">
        <v>41</v>
      </c>
      <c r="K17" s="8"/>
      <c r="L17" s="8" t="s">
        <v>96</v>
      </c>
      <c r="M17" s="5" t="s">
        <v>69</v>
      </c>
    </row>
    <row r="18" customFormat="false" ht="75" hidden="false" customHeight="true" outlineLevel="0" collapsed="false">
      <c r="A18" s="5" t="n">
        <v>14</v>
      </c>
      <c r="B18" s="5" t="s">
        <v>97</v>
      </c>
      <c r="C18" s="5" t="s">
        <v>98</v>
      </c>
      <c r="D18" s="6" t="s">
        <v>99</v>
      </c>
      <c r="E18" s="6" t="s">
        <v>100</v>
      </c>
      <c r="F18" s="6" t="s">
        <v>101</v>
      </c>
      <c r="G18" s="7" t="n">
        <v>5</v>
      </c>
      <c r="H18" s="5" t="s">
        <v>77</v>
      </c>
      <c r="I18" s="7" t="s">
        <v>78</v>
      </c>
      <c r="J18" s="7" t="s">
        <v>41</v>
      </c>
      <c r="K18" s="8"/>
      <c r="L18" s="8" t="s">
        <v>102</v>
      </c>
      <c r="M18" s="5" t="s">
        <v>103</v>
      </c>
    </row>
    <row r="19" customFormat="false" ht="75" hidden="false" customHeight="true" outlineLevel="0" collapsed="false">
      <c r="A19" s="5" t="n">
        <v>15</v>
      </c>
      <c r="B19" s="5" t="s">
        <v>104</v>
      </c>
      <c r="C19" s="5" t="s">
        <v>87</v>
      </c>
      <c r="D19" s="6" t="s">
        <v>105</v>
      </c>
      <c r="E19" s="6" t="s">
        <v>106</v>
      </c>
      <c r="F19" s="6" t="s">
        <v>107</v>
      </c>
      <c r="G19" s="7" t="n">
        <v>8</v>
      </c>
      <c r="H19" s="5" t="s">
        <v>77</v>
      </c>
      <c r="I19" s="7" t="s">
        <v>78</v>
      </c>
      <c r="J19" s="7" t="s">
        <v>41</v>
      </c>
      <c r="K19" s="8"/>
      <c r="L19" s="8" t="s">
        <v>102</v>
      </c>
      <c r="M19" s="5" t="s">
        <v>104</v>
      </c>
    </row>
    <row r="20" customFormat="false" ht="75" hidden="false" customHeight="true" outlineLevel="0" collapsed="false">
      <c r="A20" s="5" t="n">
        <v>16</v>
      </c>
      <c r="B20" s="5" t="s">
        <v>108</v>
      </c>
      <c r="C20" s="5" t="s">
        <v>109</v>
      </c>
      <c r="D20" s="6" t="s">
        <v>110</v>
      </c>
      <c r="E20" s="6" t="s">
        <v>111</v>
      </c>
      <c r="F20" s="6" t="s">
        <v>112</v>
      </c>
      <c r="G20" s="7" t="n">
        <v>2</v>
      </c>
      <c r="H20" s="5" t="s">
        <v>77</v>
      </c>
      <c r="I20" s="7" t="s">
        <v>78</v>
      </c>
      <c r="J20" s="7" t="s">
        <v>41</v>
      </c>
      <c r="K20" s="8"/>
      <c r="L20" s="8" t="s">
        <v>102</v>
      </c>
      <c r="M20" s="5" t="s">
        <v>113</v>
      </c>
    </row>
    <row r="21" customFormat="false" ht="75" hidden="false" customHeight="true" outlineLevel="0" collapsed="false">
      <c r="A21" s="5" t="n">
        <v>17</v>
      </c>
      <c r="B21" s="5" t="s">
        <v>114</v>
      </c>
      <c r="C21" s="5" t="s">
        <v>115</v>
      </c>
      <c r="D21" s="6" t="s">
        <v>116</v>
      </c>
      <c r="E21" s="6" t="s">
        <v>117</v>
      </c>
      <c r="F21" s="6" t="s">
        <v>118</v>
      </c>
      <c r="G21" s="7" t="n">
        <v>5</v>
      </c>
      <c r="H21" s="5" t="s">
        <v>77</v>
      </c>
      <c r="I21" s="7" t="s">
        <v>78</v>
      </c>
      <c r="J21" s="7" t="s">
        <v>41</v>
      </c>
      <c r="K21" s="8"/>
      <c r="L21" s="8" t="s">
        <v>119</v>
      </c>
      <c r="M21" s="5" t="s">
        <v>108</v>
      </c>
    </row>
    <row r="22" customFormat="false" ht="75" hidden="false" customHeight="true" outlineLevel="0" collapsed="false">
      <c r="A22" s="5" t="n">
        <v>18</v>
      </c>
      <c r="B22" s="5" t="s">
        <v>113</v>
      </c>
      <c r="C22" s="5" t="s">
        <v>98</v>
      </c>
      <c r="D22" s="6" t="s">
        <v>120</v>
      </c>
      <c r="E22" s="6" t="s">
        <v>121</v>
      </c>
      <c r="F22" s="6" t="s">
        <v>122</v>
      </c>
      <c r="G22" s="7" t="n">
        <v>5</v>
      </c>
      <c r="H22" s="5" t="s">
        <v>77</v>
      </c>
      <c r="I22" s="7" t="s">
        <v>78</v>
      </c>
      <c r="J22" s="7" t="s">
        <v>41</v>
      </c>
      <c r="K22" s="8"/>
      <c r="L22" s="8" t="s">
        <v>123</v>
      </c>
      <c r="M22" s="5" t="s">
        <v>124</v>
      </c>
    </row>
    <row r="23" customFormat="false" ht="75" hidden="false" customHeight="true" outlineLevel="0" collapsed="false">
      <c r="A23" s="5" t="n">
        <v>19</v>
      </c>
      <c r="B23" s="5" t="s">
        <v>125</v>
      </c>
      <c r="C23" s="5" t="s">
        <v>126</v>
      </c>
      <c r="D23" s="6" t="s">
        <v>127</v>
      </c>
      <c r="E23" s="6" t="s">
        <v>128</v>
      </c>
      <c r="F23" s="6" t="s">
        <v>129</v>
      </c>
      <c r="G23" s="7" t="n">
        <v>3</v>
      </c>
      <c r="H23" s="5" t="s">
        <v>77</v>
      </c>
      <c r="I23" s="7" t="s">
        <v>78</v>
      </c>
      <c r="J23" s="7" t="s">
        <v>41</v>
      </c>
      <c r="K23" s="8"/>
      <c r="L23" s="8" t="s">
        <v>130</v>
      </c>
      <c r="M23" s="5" t="s">
        <v>131</v>
      </c>
    </row>
    <row r="24" customFormat="false" ht="75" hidden="false" customHeight="true" outlineLevel="0" collapsed="false">
      <c r="A24" s="5" t="n">
        <v>20</v>
      </c>
      <c r="B24" s="5" t="s">
        <v>132</v>
      </c>
      <c r="C24" s="5" t="s">
        <v>81</v>
      </c>
      <c r="D24" s="6" t="s">
        <v>133</v>
      </c>
      <c r="E24" s="6" t="s">
        <v>134</v>
      </c>
      <c r="F24" s="6" t="s">
        <v>135</v>
      </c>
      <c r="G24" s="7" t="n">
        <v>3</v>
      </c>
      <c r="H24" s="5" t="s">
        <v>77</v>
      </c>
      <c r="I24" s="7" t="s">
        <v>78</v>
      </c>
      <c r="J24" s="7" t="s">
        <v>41</v>
      </c>
      <c r="K24" s="8"/>
      <c r="L24" s="8" t="s">
        <v>136</v>
      </c>
      <c r="M24" s="5" t="s">
        <v>97</v>
      </c>
    </row>
    <row r="25" customFormat="false" ht="75" hidden="false" customHeight="true" outlineLevel="0" collapsed="false">
      <c r="A25" s="5" t="n">
        <v>21</v>
      </c>
      <c r="B25" s="5" t="s">
        <v>137</v>
      </c>
      <c r="C25" s="5" t="s">
        <v>63</v>
      </c>
      <c r="D25" s="6" t="s">
        <v>138</v>
      </c>
      <c r="E25" s="6" t="s">
        <v>139</v>
      </c>
      <c r="F25" s="6" t="s">
        <v>140</v>
      </c>
      <c r="G25" s="7" t="n">
        <v>3</v>
      </c>
      <c r="H25" s="5" t="s">
        <v>77</v>
      </c>
      <c r="I25" s="7" t="s">
        <v>78</v>
      </c>
      <c r="J25" s="7" t="s">
        <v>41</v>
      </c>
      <c r="K25" s="8"/>
      <c r="L25" s="8" t="s">
        <v>130</v>
      </c>
      <c r="M25" s="5" t="s">
        <v>92</v>
      </c>
    </row>
    <row r="26" customFormat="false" ht="75" hidden="false" customHeight="true" outlineLevel="0" collapsed="false">
      <c r="A26" s="5" t="n">
        <v>22</v>
      </c>
      <c r="B26" s="5" t="s">
        <v>141</v>
      </c>
      <c r="C26" s="5" t="s">
        <v>126</v>
      </c>
      <c r="D26" s="6" t="s">
        <v>142</v>
      </c>
      <c r="E26" s="6" t="s">
        <v>143</v>
      </c>
      <c r="F26" s="6" t="s">
        <v>144</v>
      </c>
      <c r="G26" s="7" t="n">
        <v>3</v>
      </c>
      <c r="H26" s="5" t="s">
        <v>77</v>
      </c>
      <c r="I26" s="7" t="s">
        <v>78</v>
      </c>
      <c r="J26" s="7" t="s">
        <v>41</v>
      </c>
      <c r="K26" s="8"/>
      <c r="L26" s="8" t="s">
        <v>136</v>
      </c>
      <c r="M26" s="5" t="s">
        <v>145</v>
      </c>
    </row>
    <row r="27" customFormat="false" ht="75" hidden="false" customHeight="true" outlineLevel="0" collapsed="false">
      <c r="A27" s="5" t="n">
        <v>23</v>
      </c>
      <c r="B27" s="5" t="s">
        <v>103</v>
      </c>
      <c r="C27" s="5" t="s">
        <v>109</v>
      </c>
      <c r="D27" s="6" t="s">
        <v>146</v>
      </c>
      <c r="E27" s="6" t="s">
        <v>147</v>
      </c>
      <c r="F27" s="6" t="s">
        <v>148</v>
      </c>
      <c r="G27" s="7" t="n">
        <v>2</v>
      </c>
      <c r="H27" s="5" t="s">
        <v>77</v>
      </c>
      <c r="I27" s="7" t="s">
        <v>78</v>
      </c>
      <c r="J27" s="7" t="s">
        <v>41</v>
      </c>
      <c r="K27" s="8"/>
      <c r="L27" s="8" t="s">
        <v>130</v>
      </c>
      <c r="M27" s="5" t="s">
        <v>125</v>
      </c>
    </row>
    <row r="28" customFormat="false" ht="75" hidden="false" customHeight="true" outlineLevel="0" collapsed="false">
      <c r="A28" s="5" t="n">
        <v>24</v>
      </c>
      <c r="B28" s="5" t="s">
        <v>124</v>
      </c>
      <c r="C28" s="5" t="s">
        <v>109</v>
      </c>
      <c r="D28" s="6" t="s">
        <v>149</v>
      </c>
      <c r="E28" s="6" t="s">
        <v>150</v>
      </c>
      <c r="F28" s="6" t="s">
        <v>151</v>
      </c>
      <c r="G28" s="7" t="n">
        <v>5</v>
      </c>
      <c r="H28" s="5" t="s">
        <v>77</v>
      </c>
      <c r="I28" s="7" t="s">
        <v>78</v>
      </c>
      <c r="J28" s="7" t="s">
        <v>41</v>
      </c>
      <c r="K28" s="8"/>
      <c r="L28" s="8" t="s">
        <v>152</v>
      </c>
      <c r="M28" s="5" t="s">
        <v>114</v>
      </c>
    </row>
    <row r="29" customFormat="false" ht="75" hidden="false" customHeight="true" outlineLevel="0" collapsed="false">
      <c r="A29" s="5" t="n">
        <v>25</v>
      </c>
      <c r="B29" s="5" t="s">
        <v>153</v>
      </c>
      <c r="C29" s="5" t="s">
        <v>154</v>
      </c>
      <c r="D29" s="6" t="s">
        <v>155</v>
      </c>
      <c r="E29" s="6" t="s">
        <v>156</v>
      </c>
      <c r="F29" s="6" t="s">
        <v>157</v>
      </c>
      <c r="G29" s="7" t="n">
        <v>3</v>
      </c>
      <c r="H29" s="5" t="s">
        <v>77</v>
      </c>
      <c r="I29" s="7" t="s">
        <v>78</v>
      </c>
      <c r="J29" s="7" t="s">
        <v>41</v>
      </c>
      <c r="K29" s="8"/>
      <c r="L29" s="8" t="s">
        <v>158</v>
      </c>
      <c r="M29" s="5" t="s">
        <v>159</v>
      </c>
    </row>
    <row r="30" customFormat="false" ht="75" hidden="false" customHeight="true" outlineLevel="0" collapsed="false">
      <c r="A30" s="5" t="n">
        <v>26</v>
      </c>
      <c r="B30" s="5" t="s">
        <v>159</v>
      </c>
      <c r="C30" s="5" t="s">
        <v>109</v>
      </c>
      <c r="D30" s="6" t="s">
        <v>160</v>
      </c>
      <c r="E30" s="6" t="s">
        <v>161</v>
      </c>
      <c r="F30" s="6" t="s">
        <v>162</v>
      </c>
      <c r="G30" s="7" t="n">
        <v>3</v>
      </c>
      <c r="H30" s="5" t="s">
        <v>163</v>
      </c>
      <c r="I30" s="7" t="s">
        <v>78</v>
      </c>
      <c r="J30" s="7" t="s">
        <v>41</v>
      </c>
      <c r="K30" s="8"/>
      <c r="L30" s="8" t="s">
        <v>164</v>
      </c>
      <c r="M30" s="5" t="s">
        <v>132</v>
      </c>
    </row>
    <row r="31" customFormat="false" ht="75" hidden="false" customHeight="true" outlineLevel="0" collapsed="false">
      <c r="A31" s="5" t="n">
        <v>27</v>
      </c>
      <c r="B31" s="5" t="s">
        <v>131</v>
      </c>
      <c r="C31" s="5" t="s">
        <v>115</v>
      </c>
      <c r="D31" s="6" t="s">
        <v>165</v>
      </c>
      <c r="E31" s="6" t="s">
        <v>166</v>
      </c>
      <c r="F31" s="6" t="s">
        <v>167</v>
      </c>
      <c r="G31" s="7" t="n">
        <v>3</v>
      </c>
      <c r="H31" s="5" t="s">
        <v>163</v>
      </c>
      <c r="I31" s="7" t="s">
        <v>78</v>
      </c>
      <c r="J31" s="7" t="s">
        <v>41</v>
      </c>
      <c r="K31" s="8"/>
      <c r="L31" s="8"/>
      <c r="M31" s="5" t="s">
        <v>141</v>
      </c>
    </row>
    <row r="32" customFormat="false" ht="75" hidden="false" customHeight="true" outlineLevel="0" collapsed="false">
      <c r="A32" s="5" t="n">
        <v>28</v>
      </c>
      <c r="B32" s="5" t="s">
        <v>145</v>
      </c>
      <c r="C32" s="5" t="s">
        <v>126</v>
      </c>
      <c r="D32" s="6" t="s">
        <v>168</v>
      </c>
      <c r="E32" s="6" t="s">
        <v>169</v>
      </c>
      <c r="F32" s="6" t="s">
        <v>170</v>
      </c>
      <c r="G32" s="7" t="n">
        <v>3</v>
      </c>
      <c r="H32" s="5" t="s">
        <v>163</v>
      </c>
      <c r="I32" s="7" t="s">
        <v>78</v>
      </c>
      <c r="J32" s="7" t="s">
        <v>41</v>
      </c>
      <c r="K32" s="8"/>
      <c r="L32" s="8"/>
      <c r="M32" s="5" t="s">
        <v>171</v>
      </c>
    </row>
    <row r="33" customFormat="false" ht="75" hidden="false" customHeight="true" outlineLevel="0" collapsed="false">
      <c r="A33" s="5" t="n">
        <v>29</v>
      </c>
      <c r="B33" s="5" t="s">
        <v>171</v>
      </c>
      <c r="C33" s="5" t="s">
        <v>154</v>
      </c>
      <c r="D33" s="6" t="s">
        <v>172</v>
      </c>
      <c r="E33" s="6" t="s">
        <v>173</v>
      </c>
      <c r="F33" s="6" t="s">
        <v>174</v>
      </c>
      <c r="G33" s="7" t="n">
        <v>5</v>
      </c>
      <c r="H33" s="5" t="s">
        <v>163</v>
      </c>
      <c r="I33" s="7" t="s">
        <v>78</v>
      </c>
      <c r="J33" s="7" t="s">
        <v>41</v>
      </c>
      <c r="K33" s="8"/>
      <c r="L33" s="8"/>
      <c r="M33" s="5" t="s">
        <v>175</v>
      </c>
    </row>
    <row r="34" customFormat="false" ht="75" hidden="false" customHeight="true" outlineLevel="0" collapsed="false">
      <c r="A34" s="5" t="n">
        <v>30</v>
      </c>
      <c r="B34" s="5" t="s">
        <v>175</v>
      </c>
      <c r="C34" s="5" t="s">
        <v>109</v>
      </c>
      <c r="D34" s="6" t="s">
        <v>176</v>
      </c>
      <c r="E34" s="6" t="s">
        <v>177</v>
      </c>
      <c r="F34" s="6" t="s">
        <v>178</v>
      </c>
      <c r="G34" s="7" t="n">
        <v>8</v>
      </c>
      <c r="H34" s="5" t="s">
        <v>163</v>
      </c>
      <c r="I34" s="7" t="s">
        <v>78</v>
      </c>
      <c r="J34" s="7" t="s">
        <v>41</v>
      </c>
      <c r="K34" s="8"/>
      <c r="L34" s="8"/>
      <c r="M34" s="5" t="s">
        <v>137</v>
      </c>
    </row>
    <row r="35" customFormat="false" ht="75" hidden="false" customHeight="true" outlineLevel="0" collapsed="false">
      <c r="A35" s="5" t="n">
        <v>31</v>
      </c>
      <c r="B35" s="5" t="s">
        <v>179</v>
      </c>
      <c r="C35" s="5" t="s">
        <v>126</v>
      </c>
      <c r="D35" s="6" t="s">
        <v>180</v>
      </c>
      <c r="E35" s="6" t="s">
        <v>181</v>
      </c>
      <c r="F35" s="6" t="s">
        <v>182</v>
      </c>
      <c r="G35" s="7" t="n">
        <v>3</v>
      </c>
      <c r="H35" s="5" t="s">
        <v>183</v>
      </c>
      <c r="I35" s="7" t="s">
        <v>78</v>
      </c>
      <c r="J35" s="7" t="s">
        <v>41</v>
      </c>
      <c r="K35" s="8"/>
      <c r="L35" s="8"/>
      <c r="M35" s="5" t="s">
        <v>179</v>
      </c>
    </row>
    <row r="36" customFormat="false" ht="60" hidden="false" customHeight="true" outlineLevel="0" collapsed="false">
      <c r="A36" s="5" t="n">
        <v>32</v>
      </c>
      <c r="B36" s="5" t="s">
        <v>184</v>
      </c>
      <c r="C36" s="5" t="s">
        <v>36</v>
      </c>
      <c r="D36" s="6" t="s">
        <v>185</v>
      </c>
      <c r="E36" s="6" t="s">
        <v>186</v>
      </c>
      <c r="F36" s="6" t="s">
        <v>187</v>
      </c>
      <c r="G36" s="7"/>
      <c r="H36" s="5"/>
      <c r="I36" s="7" t="s">
        <v>78</v>
      </c>
      <c r="J36" s="7" t="s">
        <v>188</v>
      </c>
      <c r="K36" s="8"/>
      <c r="L36" s="8" t="s">
        <v>189</v>
      </c>
      <c r="M36" s="5" t="s">
        <v>190</v>
      </c>
    </row>
    <row r="37" customFormat="false" ht="14.25" hidden="false" customHeight="true" outlineLevel="0" collapsed="false">
      <c r="F37" s="9" t="s">
        <v>191</v>
      </c>
      <c r="G37" s="9" t="n">
        <f aca="false">SUM(G5:G36)</f>
        <v>126</v>
      </c>
    </row>
    <row r="38" customFormat="false" ht="14.25" hidden="false" customHeight="true" outlineLevel="0" collapsed="false">
      <c r="F38" s="9" t="s">
        <v>192</v>
      </c>
      <c r="G38" s="9" t="n">
        <f aca="false">SUMIF(J5:J36,"Feito",G5:G36)</f>
        <v>10</v>
      </c>
    </row>
    <row r="39" customFormat="false" ht="21.75" hidden="false" customHeight="true" outlineLevel="0" collapsed="false">
      <c r="F39" s="10" t="s">
        <v>193</v>
      </c>
    </row>
  </sheetData>
  <autoFilter ref="A4:M36"/>
  <conditionalFormatting sqref="J5:J36">
    <cfRule type="cellIs" priority="2" operator="equal" aboveAverage="0" equalAverage="0" bottom="0" percent="0" rank="0" text="" dxfId="13">
      <formula>"Feito"</formula>
    </cfRule>
    <cfRule type="cellIs" priority="3" operator="equal" aboveAverage="0" equalAverage="0" bottom="0" percent="0" rank="0" text="" dxfId="14">
      <formula>"Em curso"</formula>
    </cfRule>
  </conditionalFormatting>
  <conditionalFormatting sqref="H5:H36">
    <cfRule type="cellIs" priority="4" operator="equal" aboveAverage="0" equalAverage="0" bottom="0" percent="0" rank="0" text="" dxfId="15">
      <formula>"Must"</formula>
    </cfRule>
    <cfRule type="cellIs" priority="5" operator="equal" aboveAverage="0" equalAverage="0" bottom="0" percent="0" rank="0" text="" dxfId="16">
      <formula>"Should"</formula>
    </cfRule>
    <cfRule type="cellIs" priority="6" operator="equal" aboveAverage="0" equalAverage="0" bottom="0" percent="0" rank="0" text="" dxfId="17">
      <formula>"Could"</formula>
    </cfRule>
    <cfRule type="cellIs" priority="7" operator="equal" aboveAverage="0" equalAverage="0" bottom="0" percent="0" rank="0" text="" dxfId="18">
      <formula>"Won't"</formula>
    </cfRule>
  </conditionalFormatting>
  <conditionalFormatting sqref="I5:I36">
    <cfRule type="cellIs" priority="8" operator="equal" aboveAverage="0" equalAverage="0" bottom="0" percent="0" rank="0" text="" dxfId="16">
      <formula>"Sprint 1"</formula>
    </cfRule>
    <cfRule type="cellIs" priority="9" operator="equal" aboveAverage="0" equalAverage="0" bottom="0" percent="0" rank="0" text="" dxfId="17">
      <formula>"Sprint 2"</formula>
    </cfRule>
    <cfRule type="cellIs" priority="10" operator="equal" aboveAverage="0" equalAverage="0" bottom="0" percent="0" rank="0" text="" dxfId="19">
      <formula>"Sprint 3"</formula>
    </cfRule>
    <cfRule type="cellIs" priority="11" operator="equal" aboveAverage="0" equalAverage="0" bottom="0" percent="0" rank="0" text="" dxfId="20">
      <formula>"Sprint 4"</formula>
    </cfRule>
    <cfRule type="cellIs" priority="12" operator="equal" aboveAverage="0" equalAverage="0" bottom="0" percent="0" rank="0" text="" dxfId="21">
      <formula>"Backlog"</formula>
    </cfRule>
  </conditionalFormatting>
  <dataValidations count="4">
    <dataValidation allowBlank="true" errorStyle="stop" operator="between" showDropDown="false" showErrorMessage="false" showInputMessage="false" sqref="G5:G36" type="list">
      <formula1>"1,2,3,5,8,13,21"</formula1>
      <formula2>0</formula2>
    </dataValidation>
    <dataValidation allowBlank="true" errorStyle="stop" operator="between" showDropDown="false" showErrorMessage="false" showInputMessage="false" sqref="H5:H36" type="list">
      <formula1>"Must,Should,Could,Won't"</formula1>
      <formula2>0</formula2>
    </dataValidation>
    <dataValidation allowBlank="true" errorStyle="stop" operator="between" showDropDown="false" showErrorMessage="false" showInputMessage="false" sqref="I5:I36" type="list">
      <formula1>"Sprint 1,Sprint 2,Sprint 3,Sprint 4,Backlog"</formula1>
      <formula2>0</formula2>
    </dataValidation>
    <dataValidation allowBlank="true" errorStyle="stop" operator="between" showDropDown="false" showErrorMessage="false" showInputMessage="false" sqref="J5:J36" type="list">
      <formula1>"Por fazer,Em curso,Feito,Fundida"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52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4"/>
    <col collapsed="false" customWidth="true" hidden="false" outlineLevel="0" max="8" min="8" style="1" width="10"/>
  </cols>
  <sheetData>
    <row r="1" customFormat="false" ht="17.25" hidden="false" customHeight="true" outlineLevel="0" collapsed="false">
      <c r="A1" s="2" t="s">
        <v>194</v>
      </c>
    </row>
    <row r="2" customFormat="false" ht="15" hidden="false" customHeight="true" outlineLevel="0" collapsed="false">
      <c r="A2" s="11" t="s">
        <v>195</v>
      </c>
    </row>
    <row r="3" customFormat="false" ht="15" hidden="false" customHeight="true" outlineLevel="0" collapsed="false">
      <c r="A3" s="12" t="s">
        <v>196</v>
      </c>
      <c r="C3" s="7" t="n">
        <v>10</v>
      </c>
    </row>
    <row r="5" customFormat="false" ht="23.25" hidden="false" customHeight="true" outlineLevel="0" collapsed="false">
      <c r="A5" s="4" t="s">
        <v>10</v>
      </c>
      <c r="B5" s="4" t="s">
        <v>197</v>
      </c>
      <c r="C5" s="4" t="s">
        <v>198</v>
      </c>
      <c r="D5" s="4" t="s">
        <v>199</v>
      </c>
      <c r="E5" s="4" t="s">
        <v>200</v>
      </c>
      <c r="F5" s="4" t="s">
        <v>201</v>
      </c>
      <c r="G5" s="4" t="s">
        <v>202</v>
      </c>
      <c r="H5" s="4" t="s">
        <v>203</v>
      </c>
    </row>
    <row r="6" customFormat="false" ht="42" hidden="false" customHeight="true" outlineLevel="0" collapsed="false">
      <c r="A6" s="13" t="s">
        <v>21</v>
      </c>
      <c r="B6" s="14" t="s">
        <v>204</v>
      </c>
      <c r="C6" s="14" t="s">
        <v>205</v>
      </c>
      <c r="D6" s="5" t="n">
        <f aca="false">SUMIF('Product Backlog'!$I$5:$I$36,$A6,'Product Backlog'!$G$5:$G$36)</f>
        <v>10</v>
      </c>
      <c r="E6" s="5" t="n">
        <f aca="false">SUMIFS('Product Backlog'!$G$5:$G$36,'Product Backlog'!$I$5:$I$36,$A6,'Product Backlog'!$J$5:$J$36,"Feito")</f>
        <v>10</v>
      </c>
      <c r="F6" s="15" t="n">
        <f aca="false">IF(D6=0,0,E6/D6)</f>
        <v>1</v>
      </c>
      <c r="G6" s="16" t="n">
        <f aca="false">$C$3-D6</f>
        <v>0</v>
      </c>
      <c r="H6" s="5" t="n">
        <f aca="false">COUNTIF('Product Backlog'!$I$5:$I$36,$A6)</f>
        <v>3</v>
      </c>
    </row>
    <row r="7" customFormat="false" ht="42" hidden="false" customHeight="true" outlineLevel="0" collapsed="false">
      <c r="A7" s="17" t="s">
        <v>40</v>
      </c>
      <c r="B7" s="14" t="s">
        <v>206</v>
      </c>
      <c r="C7" s="14" t="s">
        <v>207</v>
      </c>
      <c r="D7" s="5" t="n">
        <f aca="false">SUMIF('Product Backlog'!$I$5:$I$36,$A7,'Product Backlog'!$G$5:$G$36)</f>
        <v>8</v>
      </c>
      <c r="E7" s="5" t="n">
        <f aca="false">SUMIFS('Product Backlog'!$G$5:$G$36,'Product Backlog'!$I$5:$I$36,$A7,'Product Backlog'!$J$5:$J$36,"Feito")</f>
        <v>0</v>
      </c>
      <c r="F7" s="15" t="n">
        <f aca="false">IF(D7=0,0,E7/D7)</f>
        <v>0</v>
      </c>
      <c r="G7" s="16" t="n">
        <f aca="false">$C$3-D7</f>
        <v>2</v>
      </c>
      <c r="H7" s="5" t="n">
        <f aca="false">COUNTIF('Product Backlog'!$I$5:$I$36,$A7)</f>
        <v>2</v>
      </c>
    </row>
    <row r="8" customFormat="false" ht="42" hidden="false" customHeight="true" outlineLevel="0" collapsed="false">
      <c r="A8" s="18" t="s">
        <v>52</v>
      </c>
      <c r="B8" s="14" t="s">
        <v>208</v>
      </c>
      <c r="C8" s="14" t="s">
        <v>209</v>
      </c>
      <c r="D8" s="5" t="n">
        <f aca="false">SUMIF('Product Backlog'!$I$5:$I$36,$A8,'Product Backlog'!$G$5:$G$36)</f>
        <v>10</v>
      </c>
      <c r="E8" s="5" t="n">
        <f aca="false">SUMIFS('Product Backlog'!$G$5:$G$36,'Product Backlog'!$I$5:$I$36,$A8,'Product Backlog'!$J$5:$J$36,"Feito")</f>
        <v>0</v>
      </c>
      <c r="F8" s="15" t="n">
        <f aca="false">IF(D8=0,0,E8/D8)</f>
        <v>0</v>
      </c>
      <c r="G8" s="16" t="n">
        <f aca="false">$C$3-D8</f>
        <v>0</v>
      </c>
      <c r="H8" s="5" t="n">
        <f aca="false">COUNTIF('Product Backlog'!$I$5:$I$36,$A8)</f>
        <v>2</v>
      </c>
    </row>
    <row r="9" customFormat="false" ht="42" hidden="false" customHeight="true" outlineLevel="0" collapsed="false">
      <c r="A9" s="19" t="s">
        <v>67</v>
      </c>
      <c r="B9" s="14" t="s">
        <v>210</v>
      </c>
      <c r="C9" s="14" t="s">
        <v>211</v>
      </c>
      <c r="D9" s="5" t="n">
        <f aca="false">SUMIF('Product Backlog'!$I$5:$I$36,$A9,'Product Backlog'!$G$5:$G$36)</f>
        <v>10</v>
      </c>
      <c r="E9" s="5" t="n">
        <f aca="false">SUMIFS('Product Backlog'!$G$5:$G$36,'Product Backlog'!$I$5:$I$36,$A9,'Product Backlog'!$J$5:$J$36,"Feito")</f>
        <v>0</v>
      </c>
      <c r="F9" s="15" t="n">
        <f aca="false">IF(D9=0,0,E9/D9)</f>
        <v>0</v>
      </c>
      <c r="G9" s="16" t="n">
        <f aca="false">$C$3-D9</f>
        <v>0</v>
      </c>
      <c r="H9" s="5" t="n">
        <f aca="false">COUNTIF('Product Backlog'!$I$5:$I$36,$A9)</f>
        <v>2</v>
      </c>
    </row>
    <row r="10" customFormat="false" ht="42" hidden="false" customHeight="true" outlineLevel="0" collapsed="false">
      <c r="A10" s="5" t="s">
        <v>78</v>
      </c>
      <c r="B10" s="14" t="s">
        <v>212</v>
      </c>
      <c r="C10" s="14" t="s">
        <v>213</v>
      </c>
      <c r="D10" s="5" t="n">
        <f aca="false">SUMIF('Product Backlog'!$I$5:$I$36,$A10,'Product Backlog'!$G$5:$G$36)</f>
        <v>88</v>
      </c>
      <c r="E10" s="5" t="n">
        <f aca="false">SUMIFS('Product Backlog'!$G$5:$G$36,'Product Backlog'!$I$5:$I$36,$A10,'Product Backlog'!$J$5:$J$36,"Feito")</f>
        <v>0</v>
      </c>
      <c r="F10" s="15" t="n">
        <f aca="false">IF(D10=0,0,E10/D10)</f>
        <v>0</v>
      </c>
      <c r="G10" s="16" t="s">
        <v>34</v>
      </c>
      <c r="H10" s="5" t="n">
        <f aca="false">COUNTIF('Product Backlog'!$I$5:$I$36,$A10)</f>
        <v>23</v>
      </c>
    </row>
    <row r="11" customFormat="false" ht="15" hidden="false" customHeight="true" outlineLevel="0" collapsed="false">
      <c r="A11" s="20" t="s">
        <v>214</v>
      </c>
      <c r="B11" s="20"/>
      <c r="C11" s="20"/>
      <c r="D11" s="21" t="n">
        <f aca="false">SUM(D6:D10)</f>
        <v>126</v>
      </c>
      <c r="E11" s="21" t="n">
        <f aca="false">SUM(E6:E10)</f>
        <v>10</v>
      </c>
      <c r="F11" s="22" t="n">
        <f aca="false">IF(D11=0,0,E11/D11)</f>
        <v>0.0793650793650794</v>
      </c>
      <c r="G11" s="21"/>
      <c r="H11" s="21" t="n">
        <f aca="false">SUM(H6:H10)</f>
        <v>32</v>
      </c>
    </row>
    <row r="29" customFormat="false" ht="15" hidden="false" customHeight="true" outlineLevel="0" collapsed="false">
      <c r="A29" s="23" t="s">
        <v>215</v>
      </c>
    </row>
    <row r="30" customFormat="false" ht="15" hidden="false" customHeight="true" outlineLevel="0" collapsed="false">
      <c r="A30" s="24" t="s">
        <v>216</v>
      </c>
    </row>
    <row r="31" customFormat="false" ht="15" hidden="false" customHeight="true" outlineLevel="0" collapsed="false">
      <c r="A31" s="24" t="s">
        <v>217</v>
      </c>
    </row>
    <row r="32" customFormat="false" ht="15" hidden="false" customHeight="true" outlineLevel="0" collapsed="false">
      <c r="A32" s="24" t="s">
        <v>218</v>
      </c>
    </row>
    <row r="33" customFormat="false" ht="15" hidden="false" customHeight="true" outlineLevel="0" collapsed="false">
      <c r="A33" s="24" t="s">
        <v>219</v>
      </c>
    </row>
    <row r="34" customFormat="false" ht="15" hidden="false" customHeight="true" outlineLevel="0" collapsed="false">
      <c r="A34" s="24" t="s">
        <v>220</v>
      </c>
    </row>
    <row r="35" customFormat="false" ht="15" hidden="false" customHeight="true" outlineLevel="0" collapsed="false">
      <c r="A35" s="24" t="s">
        <v>221</v>
      </c>
    </row>
    <row r="36" customFormat="false" ht="15" hidden="false" customHeight="true" outlineLevel="0" collapsed="false">
      <c r="A36" s="24" t="s">
        <v>222</v>
      </c>
    </row>
    <row r="38" customFormat="false" ht="15" hidden="false" customHeight="true" outlineLevel="0" collapsed="false">
      <c r="A38" s="23" t="s">
        <v>223</v>
      </c>
    </row>
    <row r="39" customFormat="false" ht="15" hidden="false" customHeight="true" outlineLevel="0" collapsed="false">
      <c r="A39" s="24" t="s">
        <v>224</v>
      </c>
    </row>
    <row r="40" customFormat="false" ht="15" hidden="false" customHeight="true" outlineLevel="0" collapsed="false">
      <c r="A40" s="24" t="s">
        <v>225</v>
      </c>
    </row>
    <row r="41" customFormat="false" ht="15" hidden="false" customHeight="true" outlineLevel="0" collapsed="false">
      <c r="A41" s="24" t="s">
        <v>226</v>
      </c>
    </row>
    <row r="42" customFormat="false" ht="15" hidden="false" customHeight="true" outlineLevel="0" collapsed="false">
      <c r="A42" s="24" t="s">
        <v>227</v>
      </c>
    </row>
    <row r="43" customFormat="false" ht="15" hidden="false" customHeight="true" outlineLevel="0" collapsed="false">
      <c r="A43" s="24" t="s">
        <v>228</v>
      </c>
    </row>
    <row r="44" customFormat="false" ht="15" hidden="false" customHeight="true" outlineLevel="0" collapsed="false">
      <c r="A44" s="24" t="s">
        <v>229</v>
      </c>
    </row>
    <row r="45" customFormat="false" ht="15" hidden="false" customHeight="true" outlineLevel="0" collapsed="false">
      <c r="A45" s="24" t="s">
        <v>230</v>
      </c>
    </row>
    <row r="47" customFormat="false" ht="15" hidden="false" customHeight="true" outlineLevel="0" collapsed="false">
      <c r="A47" s="23" t="s">
        <v>231</v>
      </c>
    </row>
    <row r="48" customFormat="false" ht="15" hidden="false" customHeight="true" outlineLevel="0" collapsed="false">
      <c r="A48" s="24" t="s">
        <v>232</v>
      </c>
    </row>
    <row r="49" customFormat="false" ht="15" hidden="false" customHeight="true" outlineLevel="0" collapsed="false">
      <c r="A49" s="24" t="s">
        <v>233</v>
      </c>
    </row>
    <row r="50" customFormat="false" ht="15" hidden="false" customHeight="true" outlineLevel="0" collapsed="false">
      <c r="A50" s="24" t="s">
        <v>234</v>
      </c>
    </row>
    <row r="51" customFormat="false" ht="15" hidden="false" customHeight="true" outlineLevel="0" collapsed="false">
      <c r="A51" s="24" t="s">
        <v>235</v>
      </c>
    </row>
    <row r="53" customFormat="false" ht="15" hidden="false" customHeight="false" outlineLevel="0" collapsed="false">
      <c r="A53" s="23" t="s">
        <v>236</v>
      </c>
    </row>
    <row r="54" customFormat="false" ht="15" hidden="false" customHeight="false" outlineLevel="0" collapsed="false">
      <c r="A54" s="24" t="s">
        <v>237</v>
      </c>
    </row>
    <row r="55" customFormat="false" ht="15" hidden="false" customHeight="false" outlineLevel="0" collapsed="false">
      <c r="A55" s="24" t="s">
        <v>238</v>
      </c>
    </row>
    <row r="56" customFormat="false" ht="15" hidden="false" customHeight="false" outlineLevel="0" collapsed="false">
      <c r="A56" s="24" t="s">
        <v>239</v>
      </c>
    </row>
    <row r="57" customFormat="false" ht="15" hidden="false" customHeight="false" outlineLevel="0" collapsed="false">
      <c r="A57" s="24" t="s">
        <v>240</v>
      </c>
    </row>
    <row r="58" customFormat="false" ht="15" hidden="false" customHeight="false" outlineLevel="0" collapsed="false">
      <c r="A58" s="24" t="s">
        <v>241</v>
      </c>
    </row>
    <row r="59" customFormat="false" ht="15" hidden="false" customHeight="false" outlineLevel="0" collapsed="false">
      <c r="A59" s="24" t="s">
        <v>242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2"/>
    <col collapsed="false" customWidth="true" hidden="false" outlineLevel="0" max="3" min="3" style="1" width="11"/>
    <col collapsed="false" customWidth="true" hidden="false" outlineLevel="0" max="4" min="4" style="1" width="10"/>
    <col collapsed="false" customWidth="true" hidden="false" outlineLevel="0" max="5" min="5" style="1" width="16"/>
  </cols>
  <sheetData>
    <row r="1" customFormat="false" ht="17.25" hidden="false" customHeight="true" outlineLevel="0" collapsed="false">
      <c r="A1" s="2" t="s">
        <v>243</v>
      </c>
    </row>
    <row r="4" customFormat="false" ht="14.25" hidden="false" customHeight="true" outlineLevel="0" collapsed="false">
      <c r="A4" s="4" t="s">
        <v>244</v>
      </c>
      <c r="B4" s="4" t="s">
        <v>245</v>
      </c>
      <c r="C4" s="4" t="s">
        <v>203</v>
      </c>
      <c r="D4" s="4" t="s">
        <v>246</v>
      </c>
      <c r="E4" s="4" t="s">
        <v>247</v>
      </c>
    </row>
    <row r="5" customFormat="false" ht="14.25" hidden="false" customHeight="true" outlineLevel="0" collapsed="false">
      <c r="A5" s="25" t="s">
        <v>20</v>
      </c>
      <c r="B5" s="6" t="s">
        <v>248</v>
      </c>
      <c r="C5" s="5" t="n">
        <f aca="false">COUNTIF('Product Backlog'!$H$5:$H$36,A5)</f>
        <v>9</v>
      </c>
      <c r="D5" s="5" t="n">
        <f aca="false">SUMIF('Product Backlog'!$H$5:$H$36,A5,'Product Backlog'!$G$5:$G$36)</f>
        <v>38</v>
      </c>
      <c r="E5" s="15" t="n">
        <f aca="false">IF(SUM($D$5:$D$8)=0,0,D5/SUM($D$5:$D$8))</f>
        <v>0.301587301587302</v>
      </c>
    </row>
    <row r="6" customFormat="false" ht="14.25" hidden="false" customHeight="true" outlineLevel="0" collapsed="false">
      <c r="A6" s="13" t="s">
        <v>77</v>
      </c>
      <c r="B6" s="6" t="s">
        <v>249</v>
      </c>
      <c r="C6" s="5" t="n">
        <f aca="false">COUNTIF('Product Backlog'!$H$5:$H$36,A6)</f>
        <v>16</v>
      </c>
      <c r="D6" s="5" t="n">
        <f aca="false">SUMIF('Product Backlog'!$H$5:$H$36,A6,'Product Backlog'!$G$5:$G$36)</f>
        <v>63</v>
      </c>
      <c r="E6" s="15" t="n">
        <f aca="false">IF(SUM($D$5:$D$8)=0,0,D6/SUM($D$5:$D$8))</f>
        <v>0.5</v>
      </c>
    </row>
    <row r="7" customFormat="false" ht="14.25" hidden="false" customHeight="true" outlineLevel="0" collapsed="false">
      <c r="A7" s="17" t="s">
        <v>163</v>
      </c>
      <c r="B7" s="6" t="s">
        <v>250</v>
      </c>
      <c r="C7" s="5" t="n">
        <f aca="false">COUNTIF('Product Backlog'!$H$5:$H$36,A7)</f>
        <v>5</v>
      </c>
      <c r="D7" s="5" t="n">
        <f aca="false">SUMIF('Product Backlog'!$H$5:$H$36,A7,'Product Backlog'!$G$5:$G$36)</f>
        <v>22</v>
      </c>
      <c r="E7" s="15" t="n">
        <f aca="false">IF(SUM($D$5:$D$8)=0,0,D7/SUM($D$5:$D$8))</f>
        <v>0.174603174603175</v>
      </c>
    </row>
    <row r="8" customFormat="false" ht="14.25" hidden="false" customHeight="true" outlineLevel="0" collapsed="false">
      <c r="A8" s="26" t="s">
        <v>183</v>
      </c>
      <c r="B8" s="6" t="s">
        <v>251</v>
      </c>
      <c r="C8" s="5" t="n">
        <f aca="false">COUNTIF('Product Backlog'!$H$5:$H$36,A8)</f>
        <v>1</v>
      </c>
      <c r="D8" s="5" t="n">
        <f aca="false">SUMIF('Product Backlog'!$H$5:$H$36,A8,'Product Backlog'!$G$5:$G$36)</f>
        <v>3</v>
      </c>
      <c r="E8" s="15" t="n">
        <f aca="false">IF(SUM($D$5:$D$8)=0,0,D8/SUM($D$5:$D$8))</f>
        <v>0.0238095238095238</v>
      </c>
    </row>
    <row r="9" customFormat="false" ht="14.25" hidden="false" customHeight="true" outlineLevel="0" collapsed="false">
      <c r="A9" s="9" t="s">
        <v>214</v>
      </c>
      <c r="C9" s="27" t="n">
        <f aca="false">SUM(C5:C8)</f>
        <v>31</v>
      </c>
      <c r="D9" s="27" t="n">
        <f aca="false">SUM(D5:D8)</f>
        <v>126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2026-09-30T14:10:03Z</dcterms:created>
  <dc:creator>openpyxl</dc:creator>
  <dc:description/>
  <dc:language>en-US</dc:language>
  <cp:lastModifiedBy/>
  <dcterms:modified xsi:type="dcterms:W3CDTF">2026-10-14T15:07:16Z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