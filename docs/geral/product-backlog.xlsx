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<sst xmlns="http://schemas.openxmlformats.org/spreadsheetml/2006/main" count="504" uniqueCount="317">
  <si>
    <t xml:space="preserve">Product Backlog — OptaBem (orientação de curso e candidatura)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</si>
  <si>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 Replaneado a 23/10/2026: o plano de candidatura substitui as opcionais, que passam a Won't (fase 2).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</si>
  <si>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</si>
  <si>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</si>
  <si>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</si>
  <si>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</si>
  <si>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</si>
  <si>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</si>
  <si>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</si>
  <si>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</si>
  <si>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</si>
  <si>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</si>
  <si>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</si>
  <si>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</si>
  <si>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</si>
  <si>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</si>
  <si>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</si>
  <si>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</si>
  <si>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</si>
  <si>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</si>
  <si>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</si>
  <si>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</si>
  <si>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</si>
  <si>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 23/10: o registo pede também o nome, e o OptaBem trata a pessoa por ele (PR #43; RF01.17 e RF01.18).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</si>
  <si>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</si>
  <si>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</si>
  <si>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</si>
  <si>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</si>
  <si>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 23/10: texto da story sem «avaliações e recomendações» (eram das opcionais). Terminar sessão passa a voltar à página inicial (PR #43).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</si>
  <si>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</si>
  <si>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</si>
  <si>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</si>
  <si>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</si>
  <si>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</si>
  <si>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</si>
  <si>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</si>
  <si>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</si>
  <si>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</si>
  <si>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</si>
  <si>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</si>
  <si>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</si>
  <si>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</si>
  <si>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</si>
  <si>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</si>
  <si>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</si>
  <si>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</si>
  <si>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</si>
  <si>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</si>
  <si>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</si>
  <si>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</si>
  <si>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</si>
  <si>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 23/10: «As minhas decisões» sai do menu (decisão do PO); continua acessível pelo início e por «A minha conta».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</si>
  <si>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</si>
  <si>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</si>
  <si>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</si>
  <si>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</si>
  <si>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</si>
  <si>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</si>
  <si>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 23/10: aceite na Sprint Review do Sprint 3 (testada pelos PO); fica Feito.</t>
  </si>
  <si>
    <t xml:space="preserve">US04</t>
  </si>
  <si>
    <t xml:space="preserve">US17</t>
  </si>
  <si>
    <t xml:space="preserve">E4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</si>
  <si>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</si>
  <si>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</si>
  <si>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</si>
  <si>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 22/10 (decisão do PO): âmbito reduzido ao apagamento da conta; a exportação fica no backlog (RF17). 3 → 2 SP. Feita (PR da US17, à espera de revisão); docs/US17/, issue #34. 23/10: aceite na Sprint Review do Sprint 3 (testada pelos PO); fica Feito.</t>
  </si>
  <si>
    <t xml:space="preserve">US10</t>
  </si>
  <si>
    <t xml:space="preserve">Catálogo completo de licenciaturas (DGES)</t>
  </si>
  <si>
    <t xml:space="preserve">Como pessoa indecisa, quero procurar em todas as licenciaturas do concurso nacional, e não só numa amostra, para não deixar de fora um curso que me sirva.</t>
  </si>
  <si>
    <t xml:space="preserve">• Os cursos vêm das páginas públicas da DGES, por um script que corre no computador da equipa (dados/recolher_dges.py), devagar e retomável.
• O catálogo tem as licenciaturas e mestrados integrados do concurso nacional,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</si>
  <si>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</si>
  <si>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Em curso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</si>
  <si>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 23/10: reescrita por decisão do PO. Em vez de o administrador importar um CSV, o catálogo vem da DGES por recolha (sugestão de um colega). Ramo feature/US04-catalogo-completo: 174 cursos recolhidos, falta a recolha completa e a documentação. Backlog → Sprint 4, Should → Must; a confirmar com o docente.</t>
  </si>
  <si>
    <t xml:space="preserve">US33</t>
  </si>
  <si>
    <t xml:space="preserve">E12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</si>
  <si>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</si>
  <si>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</si>
  <si>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</si>
  <si>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23/10: story nova (decisão do PO: o plano de candidatura substitui as opcionais). Protótipo no PR #44 (rascunho), feito antes do sprint para o PO ver a ideia.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</si>
  <si>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</si>
  <si>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</si>
  <si>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</si>
  <si>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</si>
  <si>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</si>
  <si>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23/10: story nova. Protótipo no PR #44 (rascunho), feito antes do sprint para o PO ver a ideia.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</si>
  <si>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</si>
  <si>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</si>
  <si>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</si>
  <si>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</si>
  <si>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23/10: story nova. Protótipo no PR #44 (rascunho), feito antes do sprint para o PO ver a ideia. Contas em funções puras (app/candidatura/calculos.py).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</si>
  <si>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</si>
  <si>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</si>
  <si>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</si>
  <si>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</si>
  <si>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</si>
  <si>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23/10: story nova. Protótipo no PR #44 (rascunho), feito antes do sprint para o PO ver a ideia. O OptaBem não submete a candidatura: ajuda a prepará-la.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</si>
  <si>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</si>
  <si>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</si>
  <si>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</si>
  <si>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</si>
  <si>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Backlog</t>
  </si>
  <si>
    <t xml:space="preserve">Por fazer</t>
  </si>
  <si>
    <t xml:space="preserve">23/10: story nova. Atenção: os termos do Gemini excluem menores de 18, e muitos candidatos têm 17 anos (protótipo para a equipa, ponto 14 dos requisitos).</t>
  </si>
  <si>
    <t xml:space="preserve">US39</t>
  </si>
  <si>
    <t xml:space="preserve">E10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</si>
  <si>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</si>
  <si>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</si>
  <si>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</si>
  <si>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23/10: sugestão de um colega («editar a base de dados na área de gestão»), reescrita com uma necessidade concreta. Um editor genérico de tabelas daria aos administradores os dados pessoais dos alunos (RGPD) e seria o ponto mais perigoso do site aberto pelo túnel. Precisa do catálogo na base de dados.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</si>
  <si>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</si>
  <si>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</si>
  <si>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</si>
  <si>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</si>
  <si>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Could</t>
  </si>
  <si>
    <t xml:space="preserve">23/10: story nova.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</si>
  <si>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</si>
  <si>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</si>
  <si>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</si>
  <si>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</si>
  <si>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</si>
  <si>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Won't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</si>
  <si>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</si>
  <si>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</si>
  <si>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</si>
  <si>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</si>
  <si>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</si>
  <si>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</si>
  <si>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</si>
  <si>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</si>
  <si>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</si>
  <si>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</si>
  <si>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 23/10: Should → Won't. Fase 2 (opcionais), fora desta release: o plano de candidatura substitui as opcionais (decisão do PO). Fica para rastreabilidade.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</si>
  <si>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</si>
  <si>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</si>
  <si>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</si>
  <si>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</si>
  <si>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</si>
  <si>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 23/10: Should → Won't. Fase 2 (opcionais), fora desta release: o plano de candidatura substitui as opcionais (decisão do PO). Fica para rastreabilidade.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</si>
  <si>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</si>
  <si>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</si>
  <si>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</si>
  <si>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</si>
  <si>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</si>
  <si>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</si>
  <si>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</si>
  <si>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</si>
  <si>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</si>
  <si>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</si>
  <si>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</si>
  <si>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</si>
  <si>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</si>
  <si>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</si>
  <si>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</si>
  <si>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</si>
  <si>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</si>
  <si>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</si>
  <si>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</si>
  <si>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</si>
  <si>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</si>
  <si>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</si>
  <si>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</si>
  <si>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</si>
  <si>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</si>
  <si>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</si>
  <si>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</si>
  <si>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</si>
  <si>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</si>
  <si>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</si>
  <si>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</si>
  <si>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US21</t>
  </si>
  <si>
    <t xml:space="preserve">US16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</si>
  <si>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</si>
  <si>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</si>
  <si>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</si>
  <si>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</si>
  <si>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US24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</si>
  <si>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</si>
  <si>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</si>
  <si>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</si>
  <si>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</si>
  <si>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</si>
  <si>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</si>
  <si>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</si>
  <si>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</si>
  <si>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</si>
  <si>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</si>
  <si>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</si>
  <si>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</si>
  <si>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</si>
  <si>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</si>
  <si>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</si>
  <si>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</si>
  <si>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 23/10: Should → Won't. Fase 2 (opcionais), fora desta release: o plano de candidatura substitui as opcionais (decisão do PO). Fica para rastreabilidade.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</si>
  <si>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</si>
  <si>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</si>
  <si>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</si>
  <si>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</si>
  <si>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</si>
  <si>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 23/10: Should → Won't. Fase 2 (opcionais), fora desta release: o plano de candidatura substitui as opcionais (decisão do PO). Fica para rastreabilidade.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</si>
  <si>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</si>
  <si>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</si>
  <si>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</si>
  <si>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</si>
  <si>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Entra no Sprint 4 se houver folga de velocidade. 23/10: Could → Won't. Fase 2 (opcionais), fora desta release: o plano de candidatura substitui as opcionais (decisão do PO). Fica para rastreabilidade.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</si>
  <si>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</si>
  <si>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</si>
  <si>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</si>
  <si>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23/10: Could → Won't. Fase 2 (opcionais), fora desta release: o plano de candidatura substitui as opcionais (decisão do PO). Fica para rastreabilidade.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</si>
  <si>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</si>
  <si>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</si>
  <si>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</si>
  <si>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</si>
  <si>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</si>
  <si>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</si>
  <si>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</si>
  <si>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</si>
  <si>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</si>
  <si>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</si>
  <si>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</si>
  <si>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</si>
  <si>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</si>
  <si>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</si>
  <si>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</si>
  <si>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23/10: Won't → Won't. Fase 2 (opcionais), fora desta release: o plano de candidatura substitui as opcionais (decisão do PO). Fica para rastreabilidade.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</si>
  <si>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</si>
  <si>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</si>
  <si>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</si>
  <si>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</si>
  <si>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</si>
  <si>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</si>
  <si>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</si>
  <si>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</si>
  <si>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Épicos novos: E11 Orientação de curso (13/10) e E12 Candidatura (23/10). As stories das opcionais (Won't) ficam no fim, como fase 2.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</si>
  <si>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</si>
  <si>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</si>
  <si>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</si>
  <si>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</si>
  <si>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</si>
  <si>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</si>
  <si>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</si>
  <si>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</si>
  <si>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</si>
  <si>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</si>
  <si>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</si>
  <si>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</si>
  <si>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</si>
  <si>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</si>
  <si>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</si>
  <si>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</si>
  <si>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acesso, calcula a sua nota em cada curso e ordena as 6 opções; o catálogo passa a ter as licenciaturas da DGES (29/10 a 05/11; a confirmar com o docente).</t>
  </si>
  <si>
    <t xml:space="preserve">US04, US33, US34, US35, US36</t>
  </si>
  <si>
    <t xml:space="preserve">Fora desta release (entrega a 05/11). As stories das opcionais passam a Won't (fase 2) a 23/10: o plano de candidatura substitui-as.</t>
  </si>
  <si>
    <t xml:space="preserve">US37–US39,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</si>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</sst>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7761804"/>
        <c:axId val="79428830"/>
      </c:barChart>
      <c:catAx>
        <c:axId val="577618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28830"/>
        <c:crosses val="autoZero"/>
        <c:auto val="1"/>
        <c:lblAlgn val="ctr"/>
        <c:lblOffset val="100"/>
        <c:noMultiLvlLbl val="0"/>
      </c:catAx>
      <c:valAx>
        <c:axId val="7942883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618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2088720</xdr:colOff>
      <xdr:row>24</xdr:row>
      <xdr:rowOff>85680</xdr:rowOff>
    </xdr:to>
    <xdr:graphicFrame>
      <xdr:nvGraphicFramePr>
        <xdr:cNvPr id="0" name="Chart 1"/>
        <xdr:cNvGraphicFramePr/>
      </xdr:nvGraphicFramePr>
      <xdr:xfrm>
        <a:off x="775440" y="3992040"/>
        <a:ext cx="5753880" cy="251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61</v>
      </c>
      <c r="D12" s="6" t="s">
        <v>62</v>
      </c>
      <c r="E12" s="6" t="s">
        <v>63</v>
      </c>
      <c r="F12" s="6" t="s">
        <v>64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65</v>
      </c>
      <c r="M12" s="5" t="s">
        <v>66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67</v>
      </c>
      <c r="E13" s="6" t="s">
        <v>68</v>
      </c>
      <c r="F13" s="6" t="s">
        <v>69</v>
      </c>
      <c r="G13" s="7" t="n">
        <v>5</v>
      </c>
      <c r="H13" s="5" t="s">
        <v>20</v>
      </c>
      <c r="I13" s="7" t="s">
        <v>70</v>
      </c>
      <c r="J13" s="7" t="s">
        <v>71</v>
      </c>
      <c r="K13" s="8"/>
      <c r="L13" s="8" t="s">
        <v>72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73</v>
      </c>
      <c r="C14" s="5" t="s">
        <v>74</v>
      </c>
      <c r="D14" s="6" t="s">
        <v>75</v>
      </c>
      <c r="E14" s="6" t="s">
        <v>76</v>
      </c>
      <c r="F14" s="6" t="s">
        <v>77</v>
      </c>
      <c r="G14" s="7" t="n">
        <v>3</v>
      </c>
      <c r="H14" s="5" t="s">
        <v>20</v>
      </c>
      <c r="I14" s="7" t="s">
        <v>70</v>
      </c>
      <c r="J14" s="7" t="s">
        <v>71</v>
      </c>
      <c r="K14" s="8"/>
      <c r="L14" s="8" t="s">
        <v>78</v>
      </c>
      <c r="M14" s="5" t="s">
        <v>79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74</v>
      </c>
      <c r="D15" s="6" t="s">
        <v>81</v>
      </c>
      <c r="E15" s="6" t="s">
        <v>82</v>
      </c>
      <c r="F15" s="6" t="s">
        <v>83</v>
      </c>
      <c r="G15" s="7" t="n">
        <v>2</v>
      </c>
      <c r="H15" s="5" t="s">
        <v>20</v>
      </c>
      <c r="I15" s="7" t="s">
        <v>70</v>
      </c>
      <c r="J15" s="7" t="s">
        <v>71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74</v>
      </c>
      <c r="D16" s="6" t="s">
        <v>86</v>
      </c>
      <c r="E16" s="6" t="s">
        <v>87</v>
      </c>
      <c r="F16" s="6" t="s">
        <v>88</v>
      </c>
      <c r="G16" s="7" t="n">
        <v>3</v>
      </c>
      <c r="H16" s="5" t="s">
        <v>20</v>
      </c>
      <c r="I16" s="7" t="s">
        <v>70</v>
      </c>
      <c r="J16" s="7" t="s">
        <v>71</v>
      </c>
      <c r="K16" s="8"/>
      <c r="L16" s="8" t="s">
        <v>89</v>
      </c>
      <c r="M16" s="5" t="s">
        <v>79</v>
      </c>
    </row>
    <row r="17" customFormat="false" ht="75" hidden="false" customHeight="true" outlineLevel="0" collapsed="false">
      <c r="A17" s="5" t="n">
        <v>13</v>
      </c>
      <c r="B17" s="5" t="s">
        <v>90</v>
      </c>
      <c r="C17" s="5" t="s">
        <v>74</v>
      </c>
      <c r="D17" s="6" t="s">
        <v>91</v>
      </c>
      <c r="E17" s="6" t="s">
        <v>92</v>
      </c>
      <c r="F17" s="6" t="s">
        <v>93</v>
      </c>
      <c r="G17" s="7" t="n">
        <v>5</v>
      </c>
      <c r="H17" s="5" t="s">
        <v>94</v>
      </c>
      <c r="I17" s="7" t="s">
        <v>70</v>
      </c>
      <c r="J17" s="7" t="s">
        <v>71</v>
      </c>
      <c r="K17" s="8"/>
      <c r="L17" s="8" t="s">
        <v>95</v>
      </c>
      <c r="M17" s="5" t="s">
        <v>79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74</v>
      </c>
      <c r="D18" s="6" t="s">
        <v>97</v>
      </c>
      <c r="E18" s="6" t="s">
        <v>98</v>
      </c>
      <c r="F18" s="6" t="s">
        <v>99</v>
      </c>
      <c r="G18" s="7" t="n">
        <v>3</v>
      </c>
      <c r="H18" s="5" t="s">
        <v>94</v>
      </c>
      <c r="I18" s="7" t="s">
        <v>100</v>
      </c>
      <c r="J18" s="7" t="s">
        <v>101</v>
      </c>
      <c r="K18" s="8"/>
      <c r="L18" s="8" t="s">
        <v>102</v>
      </c>
      <c r="M18" s="5" t="s">
        <v>79</v>
      </c>
    </row>
    <row r="19" customFormat="false" ht="75" hidden="false" customHeight="true" outlineLevel="0" collapsed="false">
      <c r="A19" s="5" t="n">
        <v>15</v>
      </c>
      <c r="B19" s="5" t="s">
        <v>103</v>
      </c>
      <c r="C19" s="5" t="s">
        <v>104</v>
      </c>
      <c r="D19" s="6" t="s">
        <v>105</v>
      </c>
      <c r="E19" s="6" t="s">
        <v>106</v>
      </c>
      <c r="F19" s="6" t="s">
        <v>107</v>
      </c>
      <c r="G19" s="7" t="n">
        <v>5</v>
      </c>
      <c r="H19" s="5" t="s">
        <v>94</v>
      </c>
      <c r="I19" s="7" t="s">
        <v>100</v>
      </c>
      <c r="J19" s="7" t="s">
        <v>101</v>
      </c>
      <c r="K19" s="8"/>
      <c r="L19" s="8" t="s">
        <v>108</v>
      </c>
      <c r="M19" s="5" t="s">
        <v>79</v>
      </c>
    </row>
    <row r="20" customFormat="false" ht="75" hidden="false" customHeight="true" outlineLevel="0" collapsed="false">
      <c r="A20" s="5" t="n">
        <v>16</v>
      </c>
      <c r="B20" s="5" t="s">
        <v>109</v>
      </c>
      <c r="C20" s="5" t="s">
        <v>74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113</v>
      </c>
      <c r="I20" s="7" t="s">
        <v>100</v>
      </c>
      <c r="J20" s="7" t="s">
        <v>101</v>
      </c>
      <c r="K20" s="8"/>
      <c r="L20" s="8" t="s">
        <v>114</v>
      </c>
      <c r="M20" s="5" t="s">
        <v>79</v>
      </c>
    </row>
    <row r="21" customFormat="false" ht="75" hidden="false" customHeight="true" outlineLevel="0" collapsed="false">
      <c r="A21" s="5" t="n">
        <v>17</v>
      </c>
      <c r="B21" s="5" t="s">
        <v>115</v>
      </c>
      <c r="C21" s="5" t="s">
        <v>116</v>
      </c>
      <c r="D21" s="6" t="s">
        <v>117</v>
      </c>
      <c r="E21" s="6" t="s">
        <v>118</v>
      </c>
      <c r="F21" s="6" t="s">
        <v>119</v>
      </c>
      <c r="G21" s="7" t="n">
        <v>5</v>
      </c>
      <c r="H21" s="5" t="s">
        <v>120</v>
      </c>
      <c r="I21" s="7" t="s">
        <v>100</v>
      </c>
      <c r="J21" s="7" t="s">
        <v>101</v>
      </c>
      <c r="K21" s="8"/>
      <c r="L21" s="8" t="s">
        <v>121</v>
      </c>
      <c r="M21" s="5" t="s">
        <v>52</v>
      </c>
    </row>
    <row r="22" customFormat="false" ht="75" hidden="false" customHeight="true" outlineLevel="0" collapsed="false">
      <c r="A22" s="5" t="n">
        <v>18</v>
      </c>
      <c r="B22" s="5" t="s">
        <v>122</v>
      </c>
      <c r="C22" s="5" t="s">
        <v>116</v>
      </c>
      <c r="D22" s="6" t="s">
        <v>123</v>
      </c>
      <c r="E22" s="6" t="s">
        <v>124</v>
      </c>
      <c r="F22" s="6" t="s">
        <v>125</v>
      </c>
      <c r="G22" s="7" t="n">
        <v>5</v>
      </c>
      <c r="H22" s="5" t="s">
        <v>120</v>
      </c>
      <c r="I22" s="7" t="s">
        <v>100</v>
      </c>
      <c r="J22" s="7" t="s">
        <v>101</v>
      </c>
      <c r="K22" s="8"/>
      <c r="L22" s="8" t="s">
        <v>126</v>
      </c>
      <c r="M22" s="5" t="s">
        <v>115</v>
      </c>
    </row>
    <row r="23" customFormat="false" ht="75" hidden="false" customHeight="true" outlineLevel="0" collapsed="false">
      <c r="A23" s="5" t="n">
        <v>19</v>
      </c>
      <c r="B23" s="5" t="s">
        <v>127</v>
      </c>
      <c r="C23" s="5" t="s">
        <v>61</v>
      </c>
      <c r="D23" s="6" t="s">
        <v>128</v>
      </c>
      <c r="E23" s="6" t="s">
        <v>129</v>
      </c>
      <c r="F23" s="6" t="s">
        <v>130</v>
      </c>
      <c r="G23" s="7" t="n">
        <v>5</v>
      </c>
      <c r="H23" s="5" t="s">
        <v>120</v>
      </c>
      <c r="I23" s="7" t="s">
        <v>100</v>
      </c>
      <c r="J23" s="7" t="s">
        <v>101</v>
      </c>
      <c r="K23" s="8"/>
      <c r="L23" s="8" t="s">
        <v>131</v>
      </c>
      <c r="M23" s="5" t="s">
        <v>127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133</v>
      </c>
      <c r="D24" s="6" t="s">
        <v>134</v>
      </c>
      <c r="E24" s="6" t="s">
        <v>135</v>
      </c>
      <c r="F24" s="6" t="s">
        <v>136</v>
      </c>
      <c r="G24" s="7" t="n">
        <v>3</v>
      </c>
      <c r="H24" s="5" t="s">
        <v>120</v>
      </c>
      <c r="I24" s="7" t="s">
        <v>100</v>
      </c>
      <c r="J24" s="7" t="s">
        <v>101</v>
      </c>
      <c r="K24" s="8"/>
      <c r="L24" s="8" t="s">
        <v>137</v>
      </c>
      <c r="M24" s="5" t="s">
        <v>132</v>
      </c>
    </row>
    <row r="25" customFormat="false" ht="75" hidden="false" customHeight="true" outlineLevel="0" collapsed="false">
      <c r="A25" s="5" t="n">
        <v>21</v>
      </c>
      <c r="B25" s="5" t="s">
        <v>138</v>
      </c>
      <c r="C25" s="5" t="s">
        <v>116</v>
      </c>
      <c r="D25" s="6" t="s">
        <v>139</v>
      </c>
      <c r="E25" s="6" t="s">
        <v>140</v>
      </c>
      <c r="F25" s="6" t="s">
        <v>141</v>
      </c>
      <c r="G25" s="7" t="n">
        <v>3</v>
      </c>
      <c r="H25" s="5" t="s">
        <v>120</v>
      </c>
      <c r="I25" s="7" t="s">
        <v>100</v>
      </c>
      <c r="J25" s="7" t="s">
        <v>101</v>
      </c>
      <c r="K25" s="8"/>
      <c r="L25" s="8" t="s">
        <v>142</v>
      </c>
      <c r="M25" s="5" t="s">
        <v>122</v>
      </c>
    </row>
    <row r="26" customFormat="false" ht="75" hidden="false" customHeight="true" outlineLevel="0" collapsed="false">
      <c r="A26" s="5" t="n">
        <v>22</v>
      </c>
      <c r="B26" s="5" t="s">
        <v>66</v>
      </c>
      <c r="C26" s="5" t="s">
        <v>143</v>
      </c>
      <c r="D26" s="6" t="s">
        <v>144</v>
      </c>
      <c r="E26" s="6" t="s">
        <v>145</v>
      </c>
      <c r="F26" s="6" t="s">
        <v>146</v>
      </c>
      <c r="G26" s="7" t="n">
        <v>5</v>
      </c>
      <c r="H26" s="5" t="s">
        <v>120</v>
      </c>
      <c r="I26" s="7" t="s">
        <v>100</v>
      </c>
      <c r="J26" s="7" t="s">
        <v>101</v>
      </c>
      <c r="K26" s="8"/>
      <c r="L26" s="8" t="s">
        <v>147</v>
      </c>
      <c r="M26" s="5" t="s">
        <v>148</v>
      </c>
    </row>
    <row r="27" customFormat="false" ht="75" hidden="false" customHeight="true" outlineLevel="0" collapsed="false">
      <c r="A27" s="5" t="n">
        <v>23</v>
      </c>
      <c r="B27" s="5" t="s">
        <v>149</v>
      </c>
      <c r="C27" s="5" t="s">
        <v>133</v>
      </c>
      <c r="D27" s="6" t="s">
        <v>150</v>
      </c>
      <c r="E27" s="6" t="s">
        <v>151</v>
      </c>
      <c r="F27" s="6" t="s">
        <v>152</v>
      </c>
      <c r="G27" s="7" t="n">
        <v>8</v>
      </c>
      <c r="H27" s="5" t="s">
        <v>120</v>
      </c>
      <c r="I27" s="7" t="s">
        <v>100</v>
      </c>
      <c r="J27" s="7" t="s">
        <v>101</v>
      </c>
      <c r="K27" s="8"/>
      <c r="L27" s="8" t="s">
        <v>147</v>
      </c>
      <c r="M27" s="5" t="s">
        <v>149</v>
      </c>
    </row>
    <row r="28" customFormat="false" ht="75" hidden="false" customHeight="true" outlineLevel="0" collapsed="false">
      <c r="A28" s="5" t="n">
        <v>24</v>
      </c>
      <c r="B28" s="5" t="s">
        <v>153</v>
      </c>
      <c r="C28" s="5" t="s">
        <v>154</v>
      </c>
      <c r="D28" s="6" t="s">
        <v>155</v>
      </c>
      <c r="E28" s="6" t="s">
        <v>156</v>
      </c>
      <c r="F28" s="6" t="s">
        <v>157</v>
      </c>
      <c r="G28" s="7" t="n">
        <v>2</v>
      </c>
      <c r="H28" s="5" t="s">
        <v>120</v>
      </c>
      <c r="I28" s="7" t="s">
        <v>100</v>
      </c>
      <c r="J28" s="7" t="s">
        <v>101</v>
      </c>
      <c r="K28" s="8"/>
      <c r="L28" s="8" t="s">
        <v>147</v>
      </c>
      <c r="M28" s="5" t="s">
        <v>158</v>
      </c>
    </row>
    <row r="29" customFormat="false" ht="75" hidden="false" customHeight="true" outlineLevel="0" collapsed="false">
      <c r="A29" s="5" t="n">
        <v>25</v>
      </c>
      <c r="B29" s="5" t="s">
        <v>159</v>
      </c>
      <c r="C29" s="5" t="s">
        <v>160</v>
      </c>
      <c r="D29" s="6" t="s">
        <v>161</v>
      </c>
      <c r="E29" s="6" t="s">
        <v>162</v>
      </c>
      <c r="F29" s="6" t="s">
        <v>163</v>
      </c>
      <c r="G29" s="7" t="n">
        <v>5</v>
      </c>
      <c r="H29" s="5" t="s">
        <v>120</v>
      </c>
      <c r="I29" s="7" t="s">
        <v>100</v>
      </c>
      <c r="J29" s="7" t="s">
        <v>101</v>
      </c>
      <c r="K29" s="8"/>
      <c r="L29" s="8" t="s">
        <v>164</v>
      </c>
      <c r="M29" s="5" t="s">
        <v>153</v>
      </c>
    </row>
    <row r="30" customFormat="false" ht="75" hidden="false" customHeight="true" outlineLevel="0" collapsed="false">
      <c r="A30" s="5" t="n">
        <v>26</v>
      </c>
      <c r="B30" s="5" t="s">
        <v>158</v>
      </c>
      <c r="C30" s="5" t="s">
        <v>143</v>
      </c>
      <c r="D30" s="6" t="s">
        <v>165</v>
      </c>
      <c r="E30" s="6" t="s">
        <v>166</v>
      </c>
      <c r="F30" s="6" t="s">
        <v>167</v>
      </c>
      <c r="G30" s="7" t="n">
        <v>5</v>
      </c>
      <c r="H30" s="5" t="s">
        <v>120</v>
      </c>
      <c r="I30" s="7" t="s">
        <v>100</v>
      </c>
      <c r="J30" s="7" t="s">
        <v>101</v>
      </c>
      <c r="K30" s="8"/>
      <c r="L30" s="8" t="s">
        <v>168</v>
      </c>
      <c r="M30" s="5" t="s">
        <v>169</v>
      </c>
    </row>
    <row r="31" customFormat="false" ht="75" hidden="false" customHeight="true" outlineLevel="0" collapsed="false">
      <c r="A31" s="5" t="n">
        <v>27</v>
      </c>
      <c r="B31" s="5" t="s">
        <v>170</v>
      </c>
      <c r="C31" s="5" t="s">
        <v>104</v>
      </c>
      <c r="D31" s="6" t="s">
        <v>171</v>
      </c>
      <c r="E31" s="6" t="s">
        <v>172</v>
      </c>
      <c r="F31" s="6" t="s">
        <v>173</v>
      </c>
      <c r="G31" s="7" t="n">
        <v>3</v>
      </c>
      <c r="H31" s="5" t="s">
        <v>120</v>
      </c>
      <c r="I31" s="7" t="s">
        <v>100</v>
      </c>
      <c r="J31" s="7" t="s">
        <v>101</v>
      </c>
      <c r="K31" s="8"/>
      <c r="L31" s="8" t="s">
        <v>174</v>
      </c>
      <c r="M31" s="5" t="s">
        <v>175</v>
      </c>
    </row>
    <row r="32" customFormat="false" ht="75" hidden="false" customHeight="true" outlineLevel="0" collapsed="false">
      <c r="A32" s="5" t="n">
        <v>28</v>
      </c>
      <c r="B32" s="5" t="s">
        <v>176</v>
      </c>
      <c r="C32" s="5" t="s">
        <v>116</v>
      </c>
      <c r="D32" s="6" t="s">
        <v>177</v>
      </c>
      <c r="E32" s="6" t="s">
        <v>178</v>
      </c>
      <c r="F32" s="6" t="s">
        <v>179</v>
      </c>
      <c r="G32" s="7" t="n">
        <v>3</v>
      </c>
      <c r="H32" s="5" t="s">
        <v>120</v>
      </c>
      <c r="I32" s="7" t="s">
        <v>100</v>
      </c>
      <c r="J32" s="7" t="s">
        <v>101</v>
      </c>
      <c r="K32" s="8"/>
      <c r="L32" s="8" t="s">
        <v>174</v>
      </c>
      <c r="M32" s="5" t="s">
        <v>138</v>
      </c>
    </row>
    <row r="33" customFormat="false" ht="75" hidden="false" customHeight="true" outlineLevel="0" collapsed="false">
      <c r="A33" s="5" t="n">
        <v>29</v>
      </c>
      <c r="B33" s="5" t="s">
        <v>180</v>
      </c>
      <c r="C33" s="5" t="s">
        <v>104</v>
      </c>
      <c r="D33" s="6" t="s">
        <v>181</v>
      </c>
      <c r="E33" s="6" t="s">
        <v>182</v>
      </c>
      <c r="F33" s="6" t="s">
        <v>183</v>
      </c>
      <c r="G33" s="7" t="n">
        <v>3</v>
      </c>
      <c r="H33" s="5" t="s">
        <v>120</v>
      </c>
      <c r="I33" s="7" t="s">
        <v>100</v>
      </c>
      <c r="J33" s="7" t="s">
        <v>101</v>
      </c>
      <c r="K33" s="8"/>
      <c r="L33" s="8" t="s">
        <v>184</v>
      </c>
      <c r="M33" s="5" t="s">
        <v>185</v>
      </c>
    </row>
    <row r="34" customFormat="false" ht="75" hidden="false" customHeight="true" outlineLevel="0" collapsed="false">
      <c r="A34" s="5" t="n">
        <v>30</v>
      </c>
      <c r="B34" s="5" t="s">
        <v>148</v>
      </c>
      <c r="C34" s="5" t="s">
        <v>154</v>
      </c>
      <c r="D34" s="6" t="s">
        <v>186</v>
      </c>
      <c r="E34" s="6" t="s">
        <v>187</v>
      </c>
      <c r="F34" s="6" t="s">
        <v>188</v>
      </c>
      <c r="G34" s="7" t="n">
        <v>2</v>
      </c>
      <c r="H34" s="5" t="s">
        <v>120</v>
      </c>
      <c r="I34" s="7" t="s">
        <v>100</v>
      </c>
      <c r="J34" s="7" t="s">
        <v>101</v>
      </c>
      <c r="K34" s="8"/>
      <c r="L34" s="8" t="s">
        <v>174</v>
      </c>
      <c r="M34" s="5" t="s">
        <v>170</v>
      </c>
    </row>
    <row r="35" customFormat="false" ht="75" hidden="false" customHeight="true" outlineLevel="0" collapsed="false">
      <c r="A35" s="5" t="n">
        <v>31</v>
      </c>
      <c r="B35" s="5" t="s">
        <v>169</v>
      </c>
      <c r="C35" s="5" t="s">
        <v>154</v>
      </c>
      <c r="D35" s="6" t="s">
        <v>189</v>
      </c>
      <c r="E35" s="6" t="s">
        <v>190</v>
      </c>
      <c r="F35" s="6" t="s">
        <v>191</v>
      </c>
      <c r="G35" s="7" t="n">
        <v>5</v>
      </c>
      <c r="H35" s="5" t="s">
        <v>120</v>
      </c>
      <c r="I35" s="7" t="s">
        <v>100</v>
      </c>
      <c r="J35" s="7" t="s">
        <v>101</v>
      </c>
      <c r="K35" s="8"/>
      <c r="L35" s="8" t="s">
        <v>192</v>
      </c>
      <c r="M35" s="5" t="s">
        <v>159</v>
      </c>
    </row>
    <row r="36" customFormat="false" ht="75" hidden="false" customHeight="true" outlineLevel="0" collapsed="false">
      <c r="A36" s="5" t="n">
        <v>32</v>
      </c>
      <c r="B36" s="5" t="s">
        <v>193</v>
      </c>
      <c r="C36" s="5" t="s">
        <v>194</v>
      </c>
      <c r="D36" s="6" t="s">
        <v>195</v>
      </c>
      <c r="E36" s="6" t="s">
        <v>196</v>
      </c>
      <c r="F36" s="6" t="s">
        <v>197</v>
      </c>
      <c r="G36" s="7" t="n">
        <v>3</v>
      </c>
      <c r="H36" s="5" t="s">
        <v>120</v>
      </c>
      <c r="I36" s="7" t="s">
        <v>100</v>
      </c>
      <c r="J36" s="7" t="s">
        <v>101</v>
      </c>
      <c r="K36" s="8"/>
      <c r="L36" s="8" t="s">
        <v>198</v>
      </c>
      <c r="M36" s="5" t="s">
        <v>199</v>
      </c>
    </row>
    <row r="37" customFormat="false" ht="75" hidden="false" customHeight="true" outlineLevel="0" collapsed="false">
      <c r="A37" s="5" t="n">
        <v>33</v>
      </c>
      <c r="B37" s="5" t="s">
        <v>199</v>
      </c>
      <c r="C37" s="5" t="s">
        <v>154</v>
      </c>
      <c r="D37" s="6" t="s">
        <v>200</v>
      </c>
      <c r="E37" s="6" t="s">
        <v>201</v>
      </c>
      <c r="F37" s="6" t="s">
        <v>202</v>
      </c>
      <c r="G37" s="7" t="n">
        <v>3</v>
      </c>
      <c r="H37" s="5" t="s">
        <v>120</v>
      </c>
      <c r="I37" s="7" t="s">
        <v>100</v>
      </c>
      <c r="J37" s="7" t="s">
        <v>101</v>
      </c>
      <c r="K37" s="8"/>
      <c r="L37" s="8" t="s">
        <v>203</v>
      </c>
      <c r="M37" s="5" t="s">
        <v>60</v>
      </c>
    </row>
    <row r="38" customFormat="false" ht="75" hidden="false" customHeight="true" outlineLevel="0" collapsed="false">
      <c r="A38" s="5" t="n">
        <v>34</v>
      </c>
      <c r="B38" s="5" t="s">
        <v>175</v>
      </c>
      <c r="C38" s="5" t="s">
        <v>160</v>
      </c>
      <c r="D38" s="6" t="s">
        <v>204</v>
      </c>
      <c r="E38" s="6" t="s">
        <v>205</v>
      </c>
      <c r="F38" s="6" t="s">
        <v>206</v>
      </c>
      <c r="G38" s="7" t="n">
        <v>3</v>
      </c>
      <c r="H38" s="5" t="s">
        <v>120</v>
      </c>
      <c r="I38" s="7" t="s">
        <v>100</v>
      </c>
      <c r="J38" s="7" t="s">
        <v>101</v>
      </c>
      <c r="K38" s="8"/>
      <c r="L38" s="8" t="s">
        <v>207</v>
      </c>
      <c r="M38" s="5" t="s">
        <v>180</v>
      </c>
    </row>
    <row r="39" customFormat="false" ht="75" hidden="false" customHeight="true" outlineLevel="0" collapsed="false">
      <c r="A39" s="5" t="n">
        <v>35</v>
      </c>
      <c r="B39" s="5" t="s">
        <v>185</v>
      </c>
      <c r="C39" s="5" t="s">
        <v>104</v>
      </c>
      <c r="D39" s="6" t="s">
        <v>208</v>
      </c>
      <c r="E39" s="6" t="s">
        <v>209</v>
      </c>
      <c r="F39" s="6" t="s">
        <v>210</v>
      </c>
      <c r="G39" s="7" t="n">
        <v>3</v>
      </c>
      <c r="H39" s="5" t="s">
        <v>120</v>
      </c>
      <c r="I39" s="7" t="s">
        <v>100</v>
      </c>
      <c r="J39" s="7" t="s">
        <v>101</v>
      </c>
      <c r="K39" s="8"/>
      <c r="L39" s="8" t="s">
        <v>207</v>
      </c>
      <c r="M39" s="5" t="s">
        <v>211</v>
      </c>
    </row>
    <row r="40" customFormat="false" ht="75" hidden="false" customHeight="true" outlineLevel="0" collapsed="false">
      <c r="A40" s="5" t="n">
        <v>36</v>
      </c>
      <c r="B40" s="5" t="s">
        <v>211</v>
      </c>
      <c r="C40" s="5" t="s">
        <v>194</v>
      </c>
      <c r="D40" s="6" t="s">
        <v>212</v>
      </c>
      <c r="E40" s="6" t="s">
        <v>213</v>
      </c>
      <c r="F40" s="6" t="s">
        <v>214</v>
      </c>
      <c r="G40" s="7" t="n">
        <v>5</v>
      </c>
      <c r="H40" s="5" t="s">
        <v>120</v>
      </c>
      <c r="I40" s="7" t="s">
        <v>100</v>
      </c>
      <c r="J40" s="7" t="s">
        <v>101</v>
      </c>
      <c r="K40" s="8"/>
      <c r="L40" s="8" t="s">
        <v>207</v>
      </c>
      <c r="M40" s="5" t="s">
        <v>215</v>
      </c>
    </row>
    <row r="41" customFormat="false" ht="75" hidden="false" customHeight="true" outlineLevel="0" collapsed="false">
      <c r="A41" s="5" t="n">
        <v>37</v>
      </c>
      <c r="B41" s="5" t="s">
        <v>215</v>
      </c>
      <c r="C41" s="5" t="s">
        <v>154</v>
      </c>
      <c r="D41" s="6" t="s">
        <v>216</v>
      </c>
      <c r="E41" s="6" t="s">
        <v>217</v>
      </c>
      <c r="F41" s="6" t="s">
        <v>218</v>
      </c>
      <c r="G41" s="7" t="n">
        <v>8</v>
      </c>
      <c r="H41" s="5" t="s">
        <v>120</v>
      </c>
      <c r="I41" s="7" t="s">
        <v>100</v>
      </c>
      <c r="J41" s="7" t="s">
        <v>101</v>
      </c>
      <c r="K41" s="8"/>
      <c r="L41" s="8" t="s">
        <v>207</v>
      </c>
      <c r="M41" s="5" t="s">
        <v>176</v>
      </c>
    </row>
    <row r="42" customFormat="false" ht="75" hidden="false" customHeight="true" outlineLevel="0" collapsed="false">
      <c r="A42" s="5" t="n">
        <v>38</v>
      </c>
      <c r="B42" s="5" t="s">
        <v>219</v>
      </c>
      <c r="C42" s="5" t="s">
        <v>104</v>
      </c>
      <c r="D42" s="6" t="s">
        <v>220</v>
      </c>
      <c r="E42" s="6" t="s">
        <v>221</v>
      </c>
      <c r="F42" s="6" t="s">
        <v>222</v>
      </c>
      <c r="G42" s="7" t="n">
        <v>3</v>
      </c>
      <c r="H42" s="5" t="s">
        <v>120</v>
      </c>
      <c r="I42" s="7" t="s">
        <v>100</v>
      </c>
      <c r="J42" s="7" t="s">
        <v>101</v>
      </c>
      <c r="K42" s="8"/>
      <c r="L42" s="8" t="s">
        <v>223</v>
      </c>
      <c r="M42" s="5" t="s">
        <v>219</v>
      </c>
    </row>
    <row r="43" customFormat="false" ht="75" hidden="false" customHeight="true" outlineLevel="0" collapsed="false">
      <c r="A43" s="5" t="n">
        <v>39</v>
      </c>
      <c r="B43" s="5" t="s">
        <v>224</v>
      </c>
      <c r="C43" s="5" t="s">
        <v>36</v>
      </c>
      <c r="D43" s="6" t="s">
        <v>225</v>
      </c>
      <c r="E43" s="6" t="s">
        <v>226</v>
      </c>
      <c r="F43" s="6" t="s">
        <v>227</v>
      </c>
      <c r="G43" s="7"/>
      <c r="H43" s="5"/>
      <c r="I43" s="7" t="s">
        <v>100</v>
      </c>
      <c r="J43" s="7" t="s">
        <v>228</v>
      </c>
      <c r="K43" s="8"/>
      <c r="L43" s="8" t="s">
        <v>229</v>
      </c>
      <c r="M43" s="5" t="s">
        <v>79</v>
      </c>
    </row>
    <row r="44" customFormat="false" ht="14.25" hidden="false" customHeight="false" outlineLevel="0" collapsed="false">
      <c r="F44" s="9" t="s">
        <v>230</v>
      </c>
      <c r="G44" s="9" t="n">
        <f aca="false">SUM(G5:G43)</f>
        <v>148</v>
      </c>
    </row>
    <row r="45" customFormat="false" ht="14.25" hidden="false" customHeight="false" outlineLevel="0" collapsed="false">
      <c r="F45" s="9" t="s">
        <v>231</v>
      </c>
      <c r="G45" s="9" t="n">
        <f aca="false">SUMIF(J5:J43,"Feito",G5:G43)</f>
        <v>30</v>
      </c>
    </row>
    <row r="46" customFormat="false" ht="43.25" hidden="false" customHeight="false" outlineLevel="0" collapsed="false">
      <c r="F46" s="10" t="s">
        <v>232</v>
      </c>
    </row>
  </sheetData>
  <autoFilter ref="A4:M43"/>
  <conditionalFormatting sqref="J5:J43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43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43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43" type="list">
      <formula1>"1,2,3,5,8,13,21"</formula1>
      <formula2>0</formula2>
    </dataValidation>
    <dataValidation allowBlank="true" errorStyle="stop" operator="between" showDropDown="false" showErrorMessage="false" showInputMessage="false" sqref="H5:H43" type="list">
      <formula1>"Must,Should,Could,Won't"</formula1>
      <formula2>0</formula2>
    </dataValidation>
    <dataValidation allowBlank="true" errorStyle="stop" operator="between" showDropDown="false" showErrorMessage="false" showInputMessage="false" sqref="I5:I43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43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233</v>
      </c>
    </row>
    <row r="2" customFormat="false" ht="15" hidden="false" customHeight="true" outlineLevel="0" collapsed="false">
      <c r="A2" s="11" t="s">
        <v>234</v>
      </c>
    </row>
    <row r="3" customFormat="false" ht="15" hidden="false" customHeight="true" outlineLevel="0" collapsed="false">
      <c r="A3" s="12" t="s">
        <v>235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236</v>
      </c>
      <c r="C5" s="4" t="s">
        <v>237</v>
      </c>
      <c r="D5" s="4" t="s">
        <v>238</v>
      </c>
      <c r="E5" s="4" t="s">
        <v>239</v>
      </c>
      <c r="F5" s="4" t="s">
        <v>240</v>
      </c>
      <c r="G5" s="4" t="s">
        <v>241</v>
      </c>
      <c r="H5" s="4" t="s">
        <v>242</v>
      </c>
    </row>
    <row r="6" customFormat="false" ht="42" hidden="false" customHeight="true" outlineLevel="0" collapsed="false">
      <c r="A6" s="13" t="s">
        <v>21</v>
      </c>
      <c r="B6" s="14" t="s">
        <v>243</v>
      </c>
      <c r="C6" s="14" t="s">
        <v>244</v>
      </c>
      <c r="D6" s="5" t="n">
        <f aca="false">SUMIF('Product Backlog'!$I$5:$I$43,$A6,'Product Backlog'!$G$5:$G$43)</f>
        <v>10</v>
      </c>
      <c r="E6" s="5" t="n">
        <f aca="false">SUMIFS('Product Backlog'!$G$5:$G$43,'Product Backlog'!$I$5:$I$43,$A6,'Product Backlog'!$J$5:$J$43,"Feito")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Backlog'!$I$5:$I$43,$A6)</f>
        <v>3</v>
      </c>
    </row>
    <row r="7" customFormat="false" ht="42" hidden="false" customHeight="true" outlineLevel="0" collapsed="false">
      <c r="A7" s="17" t="s">
        <v>40</v>
      </c>
      <c r="B7" s="14" t="s">
        <v>245</v>
      </c>
      <c r="C7" s="14" t="s">
        <v>246</v>
      </c>
      <c r="D7" s="5" t="n">
        <f aca="false">SUMIF('Product Backlog'!$I$5:$I$43,$A7,'Product Backlog'!$G$5:$G$43)</f>
        <v>13</v>
      </c>
      <c r="E7" s="5" t="n">
        <f aca="false">SUMIFS('Product Backlog'!$G$5:$G$43,'Product Backlog'!$I$5:$I$43,$A7,'Product Backlog'!$J$5:$J$43,"Feito")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Backlog'!$I$5:$I$43,$A7)</f>
        <v>3</v>
      </c>
    </row>
    <row r="8" customFormat="false" ht="42" hidden="false" customHeight="true" outlineLevel="0" collapsed="false">
      <c r="A8" s="18" t="s">
        <v>57</v>
      </c>
      <c r="B8" s="14" t="s">
        <v>247</v>
      </c>
      <c r="C8" s="14" t="s">
        <v>248</v>
      </c>
      <c r="D8" s="5" t="n">
        <f aca="false">SUMIF('Product Backlog'!$I$5:$I$43,$A8,'Product Backlog'!$G$5:$G$43)</f>
        <v>7</v>
      </c>
      <c r="E8" s="5" t="n">
        <f aca="false">SUMIFS('Product Backlog'!$G$5:$G$43,'Product Backlog'!$I$5:$I$43,$A8,'Product Backlog'!$J$5:$J$43,"Feito")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Backlog'!$I$5:$I$43,$A8)</f>
        <v>2</v>
      </c>
    </row>
    <row r="9" customFormat="false" ht="42" hidden="false" customHeight="true" outlineLevel="0" collapsed="false">
      <c r="A9" s="19" t="s">
        <v>70</v>
      </c>
      <c r="B9" s="14" t="s">
        <v>249</v>
      </c>
      <c r="C9" s="14" t="s">
        <v>250</v>
      </c>
      <c r="D9" s="5" t="n">
        <f aca="false">SUMIF('Product Backlog'!$I$5:$I$43,$A9,'Product Backlog'!$G$5:$G$43)</f>
        <v>18</v>
      </c>
      <c r="E9" s="5" t="n">
        <f aca="false">SUMIFS('Product Backlog'!$G$5:$G$43,'Product Backlog'!$I$5:$I$43,$A9,'Product Backlog'!$J$5:$J$43,"Feito")</f>
        <v>0</v>
      </c>
      <c r="F9" s="15" t="n">
        <f aca="false">IF(D9=0,0,E9/D9)</f>
        <v>0</v>
      </c>
      <c r="G9" s="16" t="n">
        <f aca="false">$C$3-D9</f>
        <v>-8</v>
      </c>
      <c r="H9" s="5" t="n">
        <f aca="false">COUNTIF('Product Backlog'!$I$5:$I$43,$A9)</f>
        <v>5</v>
      </c>
    </row>
    <row r="10" customFormat="false" ht="42" hidden="false" customHeight="true" outlineLevel="0" collapsed="false">
      <c r="A10" s="5" t="s">
        <v>100</v>
      </c>
      <c r="B10" s="14" t="s">
        <v>251</v>
      </c>
      <c r="C10" s="14" t="s">
        <v>252</v>
      </c>
      <c r="D10" s="5" t="n">
        <f aca="false">SUMIF('Product Backlog'!$I$5:$I$43,$A10,'Product Backlog'!$G$5:$G$43)</f>
        <v>100</v>
      </c>
      <c r="E10" s="5" t="n">
        <f aca="false">SUMIFS('Product Backlog'!$G$5:$G$43,'Product Backlog'!$I$5:$I$43,$A10,'Product Backlog'!$J$5:$J$43,"Feito")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Backlog'!$I$5:$I$43,$A10)</f>
        <v>26</v>
      </c>
    </row>
    <row r="11" customFormat="false" ht="15" hidden="false" customHeight="true" outlineLevel="0" collapsed="false">
      <c r="A11" s="20" t="s">
        <v>253</v>
      </c>
      <c r="B11" s="20"/>
      <c r="C11" s="20"/>
      <c r="D11" s="21" t="n">
        <f aca="false">SUM(D6:D10)</f>
        <v>148</v>
      </c>
      <c r="E11" s="21" t="n">
        <f aca="false">SUM(E6:E10)</f>
        <v>30</v>
      </c>
      <c r="F11" s="22" t="n">
        <f aca="false">IF(D11=0,0,E11/D11)</f>
        <v>0.202702702702703</v>
      </c>
      <c r="G11" s="21"/>
      <c r="H11" s="21" t="n">
        <f aca="false">SUM(H6:H10)</f>
        <v>39</v>
      </c>
    </row>
    <row r="29" customFormat="false" ht="15" hidden="false" customHeight="true" outlineLevel="0" collapsed="false">
      <c r="A29" s="23" t="s">
        <v>254</v>
      </c>
    </row>
    <row r="30" customFormat="false" ht="15" hidden="false" customHeight="true" outlineLevel="0" collapsed="false">
      <c r="A30" s="24" t="s">
        <v>255</v>
      </c>
    </row>
    <row r="31" customFormat="false" ht="15" hidden="false" customHeight="true" outlineLevel="0" collapsed="false">
      <c r="A31" s="24" t="s">
        <v>256</v>
      </c>
    </row>
    <row r="32" customFormat="false" ht="15" hidden="false" customHeight="true" outlineLevel="0" collapsed="false">
      <c r="A32" s="24" t="s">
        <v>257</v>
      </c>
    </row>
    <row r="33" customFormat="false" ht="15" hidden="false" customHeight="true" outlineLevel="0" collapsed="false">
      <c r="A33" s="24" t="s">
        <v>258</v>
      </c>
    </row>
    <row r="34" customFormat="false" ht="15" hidden="false" customHeight="true" outlineLevel="0" collapsed="false">
      <c r="A34" s="24" t="s">
        <v>259</v>
      </c>
    </row>
    <row r="35" customFormat="false" ht="15" hidden="false" customHeight="true" outlineLevel="0" collapsed="false">
      <c r="A35" s="24" t="s">
        <v>260</v>
      </c>
    </row>
    <row r="36" customFormat="false" ht="15" hidden="false" customHeight="true" outlineLevel="0" collapsed="false">
      <c r="A36" s="24" t="s">
        <v>261</v>
      </c>
    </row>
    <row r="38" customFormat="false" ht="15" hidden="false" customHeight="true" outlineLevel="0" collapsed="false">
      <c r="A38" s="23" t="s">
        <v>262</v>
      </c>
    </row>
    <row r="39" customFormat="false" ht="15" hidden="false" customHeight="true" outlineLevel="0" collapsed="false">
      <c r="A39" s="24" t="s">
        <v>263</v>
      </c>
    </row>
    <row r="40" customFormat="false" ht="15" hidden="false" customHeight="true" outlineLevel="0" collapsed="false">
      <c r="A40" s="24" t="s">
        <v>264</v>
      </c>
    </row>
    <row r="41" customFormat="false" ht="15" hidden="false" customHeight="true" outlineLevel="0" collapsed="false">
      <c r="A41" s="24" t="s">
        <v>265</v>
      </c>
    </row>
    <row r="42" customFormat="false" ht="15" hidden="false" customHeight="true" outlineLevel="0" collapsed="false">
      <c r="A42" s="24" t="s">
        <v>266</v>
      </c>
    </row>
    <row r="43" customFormat="false" ht="15" hidden="false" customHeight="true" outlineLevel="0" collapsed="false">
      <c r="A43" s="24" t="s">
        <v>267</v>
      </c>
    </row>
    <row r="44" customFormat="false" ht="15" hidden="false" customHeight="true" outlineLevel="0" collapsed="false">
      <c r="A44" s="24" t="s">
        <v>268</v>
      </c>
    </row>
    <row r="45" customFormat="false" ht="15" hidden="false" customHeight="true" outlineLevel="0" collapsed="false">
      <c r="A45" s="24" t="s">
        <v>269</v>
      </c>
    </row>
    <row r="47" customFormat="false" ht="15" hidden="false" customHeight="true" outlineLevel="0" collapsed="false">
      <c r="A47" s="23" t="s">
        <v>270</v>
      </c>
    </row>
    <row r="48" customFormat="false" ht="15" hidden="false" customHeight="true" outlineLevel="0" collapsed="false">
      <c r="A48" s="24" t="s">
        <v>271</v>
      </c>
    </row>
    <row r="49" customFormat="false" ht="15" hidden="false" customHeight="true" outlineLevel="0" collapsed="false">
      <c r="A49" s="24" t="s">
        <v>272</v>
      </c>
    </row>
    <row r="50" customFormat="false" ht="15" hidden="false" customHeight="true" outlineLevel="0" collapsed="false">
      <c r="A50" s="24" t="s">
        <v>273</v>
      </c>
    </row>
    <row r="51" customFormat="false" ht="15" hidden="false" customHeight="true" outlineLevel="0" collapsed="false">
      <c r="A51" s="24" t="s">
        <v>274</v>
      </c>
    </row>
    <row r="53" customFormat="false" ht="15" hidden="false" customHeight="true" outlineLevel="0" collapsed="false">
      <c r="A53" s="23" t="s">
        <v>275</v>
      </c>
    </row>
    <row r="54" customFormat="false" ht="15" hidden="false" customHeight="true" outlineLevel="0" collapsed="false">
      <c r="A54" s="24" t="s">
        <v>276</v>
      </c>
    </row>
    <row r="55" customFormat="false" ht="15" hidden="false" customHeight="true" outlineLevel="0" collapsed="false">
      <c r="A55" s="24" t="s">
        <v>277</v>
      </c>
    </row>
    <row r="56" customFormat="false" ht="15" hidden="false" customHeight="true" outlineLevel="0" collapsed="false">
      <c r="A56" s="24" t="s">
        <v>278</v>
      </c>
    </row>
    <row r="57" customFormat="false" ht="15" hidden="false" customHeight="true" outlineLevel="0" collapsed="false">
      <c r="A57" s="24" t="s">
        <v>279</v>
      </c>
    </row>
    <row r="58" customFormat="false" ht="15" hidden="false" customHeight="true" outlineLevel="0" collapsed="false">
      <c r="A58" s="24" t="s">
        <v>280</v>
      </c>
    </row>
    <row r="59" customFormat="false" ht="15" hidden="false" customHeight="true" outlineLevel="0" collapsed="false">
      <c r="A59" s="24" t="s">
        <v>281</v>
      </c>
    </row>
    <row r="60" customFormat="false" ht="15" hidden="false" customHeight="true" outlineLevel="0" collapsed="false">
      <c r="A60" s="23" t="s">
        <v>282</v>
      </c>
    </row>
    <row r="61" customFormat="false" ht="15" hidden="false" customHeight="true" outlineLevel="0" collapsed="false">
      <c r="A61" s="24" t="s">
        <v>283</v>
      </c>
    </row>
    <row r="62" customFormat="false" ht="15" hidden="false" customHeight="true" outlineLevel="0" collapsed="false">
      <c r="A62" s="24" t="s">
        <v>284</v>
      </c>
    </row>
    <row r="63" customFormat="false" ht="15" hidden="false" customHeight="true" outlineLevel="0" collapsed="false">
      <c r="A63" s="24" t="s">
        <v>285</v>
      </c>
    </row>
    <row r="64" customFormat="false" ht="15" hidden="false" customHeight="true" outlineLevel="0" collapsed="false">
      <c r="A64" s="24" t="s">
        <v>286</v>
      </c>
    </row>
    <row r="66" customFormat="false" ht="15" hidden="false" customHeight="true" outlineLevel="0" collapsed="false">
      <c r="A66" s="23" t="s">
        <v>287</v>
      </c>
    </row>
    <row r="67" customFormat="false" ht="15" hidden="false" customHeight="true" outlineLevel="0" collapsed="false">
      <c r="A67" s="24" t="s">
        <v>288</v>
      </c>
    </row>
    <row r="68" customFormat="false" ht="15" hidden="false" customHeight="true" outlineLevel="0" collapsed="false">
      <c r="A68" s="24" t="s">
        <v>289</v>
      </c>
    </row>
    <row r="69" customFormat="false" ht="15" hidden="false" customHeight="true" outlineLevel="0" collapsed="false">
      <c r="A69" s="24" t="s">
        <v>290</v>
      </c>
    </row>
    <row r="70" customFormat="false" ht="15" hidden="false" customHeight="true" outlineLevel="0" collapsed="false">
      <c r="A70" s="24" t="s">
        <v>291</v>
      </c>
    </row>
    <row r="71" customFormat="false" ht="15" hidden="false" customHeight="true" outlineLevel="0" collapsed="false">
      <c r="A71" s="24" t="s">
        <v>292</v>
      </c>
    </row>
    <row r="72" customFormat="false" ht="15" hidden="false" customHeight="true" outlineLevel="0" collapsed="false">
      <c r="A72" s="24" t="s">
        <v>293</v>
      </c>
    </row>
    <row r="74" customFormat="false" ht="15" hidden="false" customHeight="true" outlineLevel="0" collapsed="false">
      <c r="A74" s="23" t="s">
        <v>294</v>
      </c>
    </row>
    <row r="75" customFormat="false" ht="15" hidden="false" customHeight="true" outlineLevel="0" collapsed="false">
      <c r="A75" s="24" t="s">
        <v>295</v>
      </c>
    </row>
    <row r="76" customFormat="false" ht="15" hidden="false" customHeight="true" outlineLevel="0" collapsed="false">
      <c r="A76" s="24" t="s">
        <v>296</v>
      </c>
    </row>
    <row r="77" customFormat="false" ht="15" hidden="false" customHeight="true" outlineLevel="0" collapsed="false">
      <c r="A77" s="24" t="s">
        <v>297</v>
      </c>
    </row>
    <row r="78" customFormat="false" ht="15" hidden="false" customHeight="true" outlineLevel="0" collapsed="false">
      <c r="A78" s="24" t="s">
        <v>298</v>
      </c>
    </row>
    <row r="80" customFormat="false" ht="15" hidden="false" customHeight="false" outlineLevel="0" collapsed="false">
      <c r="A80" s="23" t="s">
        <v>299</v>
      </c>
    </row>
    <row r="81" customFormat="false" ht="15" hidden="false" customHeight="false" outlineLevel="0" collapsed="false">
      <c r="A81" s="24" t="s">
        <v>300</v>
      </c>
    </row>
    <row r="82" customFormat="false" ht="15" hidden="false" customHeight="false" outlineLevel="0" collapsed="false">
      <c r="A82" s="24" t="s">
        <v>301</v>
      </c>
    </row>
    <row r="83" customFormat="false" ht="15" hidden="false" customHeight="false" outlineLevel="0" collapsed="false">
      <c r="A83" s="24" t="s">
        <v>302</v>
      </c>
    </row>
    <row r="84" customFormat="false" ht="15" hidden="false" customHeight="false" outlineLevel="0" collapsed="false">
      <c r="A84" s="24" t="s">
        <v>303</v>
      </c>
    </row>
    <row r="85" customFormat="false" ht="15" hidden="false" customHeight="false" outlineLevel="0" collapsed="false">
      <c r="A85" s="24" t="s">
        <v>304</v>
      </c>
    </row>
    <row r="86" customFormat="false" ht="15" hidden="false" customHeight="false" outlineLevel="0" collapsed="false">
      <c r="A86" s="24" t="s">
        <v>305</v>
      </c>
    </row>
    <row r="87" customFormat="false" ht="15" hidden="false" customHeight="false" outlineLevel="0" collapsed="false">
      <c r="A87" s="24" t="s">
        <v>306</v>
      </c>
    </row>
    <row r="88" customFormat="false" ht="15" hidden="false" customHeight="false" outlineLevel="0" collapsed="false">
      <c r="A88" s="24" t="s">
        <v>307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308</v>
      </c>
    </row>
    <row r="4" customFormat="false" ht="14.25" hidden="false" customHeight="true" outlineLevel="0" collapsed="false">
      <c r="A4" s="4" t="s">
        <v>309</v>
      </c>
      <c r="B4" s="4" t="s">
        <v>310</v>
      </c>
      <c r="C4" s="4" t="s">
        <v>242</v>
      </c>
      <c r="D4" s="4" t="s">
        <v>311</v>
      </c>
      <c r="E4" s="4" t="s">
        <v>312</v>
      </c>
    </row>
    <row r="5" customFormat="false" ht="14.25" hidden="false" customHeight="true" outlineLevel="0" collapsed="false">
      <c r="A5" s="25" t="s">
        <v>20</v>
      </c>
      <c r="B5" s="6" t="s">
        <v>313</v>
      </c>
      <c r="C5" s="5" t="n">
        <f aca="false">COUNTIF('Product Backlog'!$H$5:$H$43,A5)</f>
        <v>12</v>
      </c>
      <c r="D5" s="5" t="n">
        <f aca="false">SUMIF('Product Backlog'!$H$5:$H$43,A5,'Product Backlog'!$G$5:$G$43)</f>
        <v>43</v>
      </c>
      <c r="E5" s="15" t="n">
        <f aca="false">IF(SUM($D$5:$D$8)=0,0,D5/SUM($D$5:$D$8))</f>
        <v>0.290540540540541</v>
      </c>
    </row>
    <row r="6" customFormat="false" ht="14.25" hidden="false" customHeight="true" outlineLevel="0" collapsed="false">
      <c r="A6" s="13" t="s">
        <v>94</v>
      </c>
      <c r="B6" s="6" t="s">
        <v>314</v>
      </c>
      <c r="C6" s="5" t="n">
        <f aca="false">COUNTIF('Product Backlog'!$H$5:$H$43,A6)</f>
        <v>3</v>
      </c>
      <c r="D6" s="5" t="n">
        <f aca="false">SUMIF('Product Backlog'!$H$5:$H$43,A6,'Product Backlog'!$G$5:$G$43)</f>
        <v>13</v>
      </c>
      <c r="E6" s="15" t="n">
        <f aca="false">IF(SUM($D$5:$D$8)=0,0,D6/SUM($D$5:$D$8))</f>
        <v>0.0878378378378378</v>
      </c>
    </row>
    <row r="7" customFormat="false" ht="14.25" hidden="false" customHeight="true" outlineLevel="0" collapsed="false">
      <c r="A7" s="17" t="s">
        <v>113</v>
      </c>
      <c r="B7" s="6" t="s">
        <v>315</v>
      </c>
      <c r="C7" s="5" t="n">
        <f aca="false">COUNTIF('Product Backlog'!$H$5:$H$43,A7)</f>
        <v>1</v>
      </c>
      <c r="D7" s="5" t="n">
        <f aca="false">SUMIF('Product Backlog'!$H$5:$H$43,A7,'Product Backlog'!$G$5:$G$43)</f>
        <v>2</v>
      </c>
      <c r="E7" s="15" t="n">
        <f aca="false">IF(SUM($D$5:$D$8)=0,0,D7/SUM($D$5:$D$8))</f>
        <v>0.0135135135135135</v>
      </c>
    </row>
    <row r="8" customFormat="false" ht="14.25" hidden="false" customHeight="true" outlineLevel="0" collapsed="false">
      <c r="A8" s="26" t="s">
        <v>120</v>
      </c>
      <c r="B8" s="6" t="s">
        <v>316</v>
      </c>
      <c r="C8" s="5" t="n">
        <f aca="false">COUNTIF('Product Backlog'!$H$5:$H$43,A8)</f>
        <v>22</v>
      </c>
      <c r="D8" s="5" t="n">
        <f aca="false">SUMIF('Product Backlog'!$H$5:$H$43,A8,'Product Backlog'!$G$5:$G$43)</f>
        <v>90</v>
      </c>
      <c r="E8" s="15" t="n">
        <f aca="false">IF(SUM($D$5:$D$8)=0,0,D8/SUM($D$5:$D$8))</f>
        <v>0.608108108108108</v>
      </c>
    </row>
    <row r="9" customFormat="false" ht="14.25" hidden="false" customHeight="true" outlineLevel="0" collapsed="false">
      <c r="A9" s="9" t="s">
        <v>253</v>
      </c>
      <c r="C9" s="27" t="n">
        <f aca="false">SUM(C5:C8)</f>
        <v>38</v>
      </c>
      <c r="D9" s="27" t="n">
        <f aca="false">SUM(D5:D8)</f>
        <v>148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2026-10-23T15:41:47Z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