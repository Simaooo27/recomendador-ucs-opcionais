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  <sheet name="Arquivo (opcionais)" sheetId="4" state="visible" r:id="rId6"/>
  </sheets>
  <definedNames>
    <definedName function="false" hidden="true" localSheetId="3" name="_xlnm._FilterDatabase" vbProcedure="false">'Arquivo (opcionais)'!$A$4:$H$27</definedName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<sst xmlns="http://schemas.openxmlformats.org/spreadsheetml/2006/main" count="561" uniqueCount="394">
  <si>
    <t xml:space="preserve">Product Backlog — OptaBem (recomendador de cursos e plano de candidatura)</t>
  </si>
  <si>
    <t xml:space="preserve">Ordenado pela ordem de trabalho (sprint e prioridade). Células a amarelo são para a equipa atualizar (Sprint, Estado, Responsável, SP, Notas). Reestruturado a 27/10/2026, com autorização do docente: o backlog passa a ser só o de um recomendador de cursos; as stories das opcionais estão na folha «Arquivo (opcionais)». Os IDs não mudam nem são reutilizados. Estado «Protótipo» = código feito antes do sprint, ainda não aceite numa Sprint Review. Épicos: E1 Conta e privacidade · E2 Catálogo de cursos · E3 Orientação com o assistente · E4 Plano de candidatura. O histórico de replaneamentos está na folha «Plano de sprints».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</si>
  <si>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</si>
  <si>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</si>
  <si>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</si>
  <si>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</si>
  <si>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</si>
  <si>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</si>
  <si>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</si>
  <si>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</si>
  <si>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</si>
  <si>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</si>
  <si>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</si>
  <si>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</si>
  <si>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</si>
  <si>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</si>
  <si>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</si>
  <si>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</si>
  <si>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</si>
  <si>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</si>
  <si>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</si>
  <si>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</si>
  <si>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</si>
  <si>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Feita no Sprint 1 (PR #1 a #3). Desde 23/10 o registo pede também o nome (PR #43). docs/US01/.</t>
  </si>
  <si>
    <t xml:space="preserve">US02</t>
  </si>
  <si>
    <t xml:space="preserve">Autenticação</t>
  </si>
  <si>
    <t xml:space="preserve">Como aluno, quero iniciar e terminar sessão, para aceder ao meu percurso de forma segura.</t>
  </si>
  <si>
    <t xml:space="preserve">• Login com email e palavra-passe.
• Mensagem genérica em caso de erro.
• O logout termina a sessão.
• Páginas privadas redirecionam para o login.</t>
  </si>
  <si>
    <t xml:space="preserve">Feita no Sprint 1 (PR #4 e #5). Terminar sessão volta à página inicial (PR #43). docs/US02/.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</si>
  <si>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</si>
  <si>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</si>
  <si>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</si>
  <si>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</si>
  <si>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Feita no Sprint 1 (PR #7). Um só início de sessão desde 14/10, com Strategy, Chain of Responsibility e Factory (PR #14). A gestão ativa contas por confirmar (PR #43). docs/US03/.</t>
  </si>
  <si>
    <t xml:space="preserve">—</t>
  </si>
  <si>
    <t xml:space="preserve">US29</t>
  </si>
  <si>
    <t xml:space="preserve">E3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</si>
  <si>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</si>
  <si>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</si>
  <si>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</si>
  <si>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</si>
  <si>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Feita no Sprint 2 (PR #19 e #24). Absorveu a US32 a 14/10 (issue #15). Gemini, com Groq de reserva (spike, PR #17). docs/US29/.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</si>
  <si>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</si>
  <si>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</si>
  <si>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</si>
  <si>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</si>
  <si>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Feita no Sprint 2 (PR #22 e #23). docs/US30/.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</si>
  <si>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</si>
  <si>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</si>
  <si>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</si>
  <si>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</si>
  <si>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Feita no Sprint 2 (issue #27). Depois da escolha, a conversa com o LLM é apagada. Fora do menu desde 23/10 (continua no início e em «A minha conta»). docs/US31/.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</si>
  <si>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</si>
  <si>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</si>
  <si>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</si>
  <si>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</si>
  <si>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</si>
  <si>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Sprint 3</t>
  </si>
  <si>
    <t xml:space="preserve">Feita no Sprint 3 (PR #37, #38 e #42). docs/US05/.</t>
  </si>
  <si>
    <t xml:space="preserve">US04</t>
  </si>
  <si>
    <t xml:space="preserve">US17</t>
  </si>
  <si>
    <t xml:space="preserve">Apagar a minha conta</t>
  </si>
  <si>
    <t xml:space="preserve">Como aluno, quero apagar a minha conta e todos os meus dados, para exercer o meu direito ao apagamento.</t>
  </si>
  <si>
    <t xml:space="preserve">• Apagar remove a conta, a conversa de orientação, as decisões do percurso e os pedidos ao LLM.
• A ação pede confirmação (palavra-passe).
• A sessão termina e a página confirma que os dados foram apagados.</t>
  </si>
  <si>
    <t xml:space="preserve">Feita no Sprint 3 (PR #39). Âmbito reduzido a 22/10: a exportação passou a ser a US46. docs/US17/.</t>
  </si>
  <si>
    <t xml:space="preserve">US10</t>
  </si>
  <si>
    <t xml:space="preserve">Catálogo de licenciaturas recolhido da DGES</t>
  </si>
  <si>
    <t xml:space="preserve">Como pessoa indecisa, quero procurar num catálogo de licenciaturas recolhido da DGES, e não só numa amostra escrita à mão, para ver cursos de muitas instituições com dados oficiais.</t>
  </si>
  <si>
    <t xml:space="preserve">• Os cursos vêm das páginas públicas da DGES, por um script que corre no computador da equipa (dados/recolher_dges.py), devagar e retomável.
• O catálogo tem os cursos já recolhidos (174 no protótipo), com vagas, nota do último colocado e condições de acesso.
• As descrições escritas pela equipa (catálogo do MVP) mantêm-se.
• Lista de cursos com paginação (24 por página).
• Acima de 150 cursos, o assistente (LLM) recebe só os cursos das áreas escolhidas.</t>
  </si>
  <si>
    <t xml:space="preserve">Sprint 4</t>
  </si>
  <si>
    <t xml:space="preserve">Código de 23/10 no PR #44 (ramo feature/US04-catalogo-completo): 174 cursos com condições de acesso. 27/10 (decisão do PO): a recolha de todas as licenciaturas passa para a US48, porque exige o computador ligado uma noite inteira. Documentação em docs/US04/ (PR #47). Aceite pelo PO a 27/10.</t>
  </si>
  <si>
    <t xml:space="preserve">US33</t>
  </si>
  <si>
    <t xml:space="preserve">E4</t>
  </si>
  <si>
    <t xml:space="preserve">Condições de acesso na ficha do curso</t>
  </si>
  <si>
    <t xml:space="preserve">Como pessoa a escolher curso, quero ver na ficha de cada curso as provas de ingresso, a fórmula de cálculo, as classificações mínimas e os pré-requisitos, para saber o que é preciso para entrar.</t>
  </si>
  <si>
    <t xml:space="preserve">• Dados lidos das páginas da DGES (a mesma recolha da US04).
• Conjuntos alternativos de provas mostrados pelo nome («Basta um destes conjuntos»).
• Fórmula (peso da média e das provas) e mínimos em pontos.
• Um curso sem estes dados mostra a ligação à DGES.
• Funciona sem sessão iniciada.</t>
  </si>
  <si>
    <t xml:space="preserve">Código de 23/10 no PR #44, feito antes do sprint. Documentação em docs/US33/ (PR #47). Aceite pelo PO a 27/10.</t>
  </si>
  <si>
    <t xml:space="preserve">nova</t>
  </si>
  <si>
    <t xml:space="preserve">US34</t>
  </si>
  <si>
    <t xml:space="preserve">Registar as minhas notas</t>
  </si>
  <si>
    <t xml:space="preserve">Como candidato, quero indicar a minha média do secundário e as notas dos exames nacionais que fiz, para o OptaBem fazer as contas por mim.</t>
  </si>
  <si>
    <t xml:space="preserve">• Média de 9,5 a 20 valores; exames de 0 a 200 pontos (ou de 0 a 20, convertidos).
• Só se preenchem os exames feitos.
• As notas podem ser mudadas e saem com a conta (US17).
• Na Matemática indica-se o exame feito (A, B ou MACS), e cada um conta para as provas que a DGES aceita.</t>
  </si>
  <si>
    <t xml:space="preserve">Código de 23/10 no PR #44, feito antes do sprint. Documentação em docs/US34/ (PR #47). Aceite pelo PO a 27/10. 27/10: correspondência das Matemáticas corrigida com a tabela da DGES (era só Matemática = Matemática A).</t>
  </si>
  <si>
    <t xml:space="preserve">US35</t>
  </si>
  <si>
    <t xml:space="preserve">Nota de candidatura a cada curso</t>
  </si>
  <si>
    <t xml:space="preserve">Como candidato, quero ver a minha nota de candidatura a cada curso e a diferença para o último colocado, para perceber onde tenho hipóteses.</t>
  </si>
  <si>
    <t xml:space="preserve">• Nota = média do secundário × peso + provas × peso, com o conjunto de provas mais favorável.
• Situação: acima (5 ou mais pontos), perto (menos de 5 de diferença) ou abaixo do último colocado; falta de prova e nota abaixo do mínimo assinaladas.
• Aparece na ficha de cada curso, com sessão iniciada.
• Aviso visível: estimativa para o contingente geral da 1.ª fase, não uma garantia.</t>
  </si>
  <si>
    <t xml:space="preserve">Código de 23/10 no PR #44, feito antes do sprint. Documentação em docs/US35/ (PR #47). Aceite pelo PO a 27/10. Contas em app/candidatura/calculos.py.</t>
  </si>
  <si>
    <t xml:space="preserve">US36</t>
  </si>
  <si>
    <t xml:space="preserve">Plano das 6 opções de candidatura</t>
  </si>
  <si>
    <t xml:space="preserve">Como candidato, quero montar e ordenar a minha lista de até 6 opções, com avisos, para submeter na DGES uma candidatura equilibrada.</t>
  </si>
  <si>
    <t xml:space="preserve">• Juntar cursos a partir da ficha; no máximo 6, sem repetidos.
• Subir, descer e retirar opções (funciona sem JavaScript).
• Avisos: opções que não contam, nenhuma opção segura, a mais fácil em 1.º lugar, menos de 6 opções, pré-requisitos.
• Sugestões de cursos da mesma área onde a pessoa fica acima ou perto.
• Passo «Preparar a candidatura» no percurso do início.
• Cursos do ensino privado não entram (candidatura na instituição, não no concurso nacional).</t>
  </si>
  <si>
    <t xml:space="preserve">Should</t>
  </si>
  <si>
    <t xml:space="preserve">Código de 23/10 no PR #44, feito antes do sprint. Documentação em docs/US36/ (PR #47). Aceite pelo PO a 27/10. O OptaBem ajuda a preparar a candidatura, não a submete. 27/10: os cursos privados deixam de poder entrar no plano.</t>
  </si>
  <si>
    <t xml:space="preserve">US40</t>
  </si>
  <si>
    <t xml:space="preserve">Quanto preciso no exame?</t>
  </si>
  <si>
    <t xml:space="preserve">Como candidato, quero saber que nota preciso nos exames que ainda não fiz para chegar ao último colocado de um curso, para saber quanto tenho de estudar.</t>
  </si>
  <si>
    <t xml:space="preserve">• Na ficha do curso, com a média do secundário indicada.
• Usa os exames já feitos e escolhe o conjunto de provas em que é mais fácil lá chegar.
• Respeita o mínimo de cada prova; sem último colocado, usa a nota mínima do curso.
• Diz quando nem 200 pontos chegam.
• No plano, as opções a que falta uma prova mostram quanto precisa.</t>
  </si>
  <si>
    <t xml:space="preserve">Código de 23/10 no PR #44 (ideia proposta pelo Claude e aceite pelo PO), feito antes do sprint. 27/10: entra no Sprint 4 por decisão do PO; documentação em docs/US40/ (PR #48); aceite pelo PO a 27/10.</t>
  </si>
  <si>
    <t xml:space="preserve">US41</t>
  </si>
  <si>
    <t xml:space="preserve">Tendência do último colocado</t>
  </si>
  <si>
    <t xml:space="preserve">Como candidato, quero ver como a nota do último colocado mudou de 2023 a 2025, para perceber se um curso está a ficar mais difícil de entrar.</t>
  </si>
  <si>
    <t xml:space="preserve">• Notas da 1.ª fase de 2023, 2024 e 2025 (DGES) na ficha do curso.
• Etiqueta «A subir», «A descer» ou «Estável» (3 pontos de margem entre o primeiro e o último ano).
• A etiqueta aparece também em cada opção do plano.</t>
  </si>
  <si>
    <t xml:space="preserve">Código de 23/10 no PR #44 (ideia proposta pelo Claude e aceite pelo PO), feito antes do sprint. 27/10: entra no Sprint 4 por decisão do PO; documentação em docs/US41/ (PR #48); aceite pelo PO a 27/10.</t>
  </si>
  <si>
    <t xml:space="preserve">US42</t>
  </si>
  <si>
    <t xml:space="preserve">Procura do curso</t>
  </si>
  <si>
    <t xml:space="preserve">Como candidato, quero ver quantas pessoas concorreram a um curso e quantas o puseram em 1.ª opção, para perceber o risco da minha escolha.</t>
  </si>
  <si>
    <t xml:space="preserve">• Candidatos, candidatos em 1.ª opção, vagas e colocados da 1.ª fase de 2025 (DGES), na ficha do curso.
• Etiqueta: «Sobraram vagas», «Muito procurado» (1,5 ou mais em 1.ª opção por vaga), «Procurado» (0,75 a 1,5) ou «Pouco escolhido em 1.ª opção».</t>
  </si>
  <si>
    <t xml:space="preserve">Código de 23/10 no PR #44 (ideia proposta pelo Claude e aceite pelo PO), feito antes do sprint. 27/10: entra no Sprint 4 por decisão do PO; documentação em docs/US42/ (PR #48); aceite pelo PO a 27/10.</t>
  </si>
  <si>
    <t xml:space="preserve">US44</t>
  </si>
  <si>
    <t xml:space="preserve">Que exames me abrem mais portas?</t>
  </si>
  <si>
    <t xml:space="preserve">Como candidato, quero saber que combinação de exames nacionais me deixa concorrer a mais cursos do meu plano, para decidir que exames fazer.</t>
  </si>
  <si>
    <t xml:space="preserve">• Combinações de até 3 exames, a partir dos conjuntos de provas das opções do plano (2 ou mais opções).
• Mostra as 3 melhores: a que serve para mais opções primeiro, depois a com menos exames.
• Diz para que opções não dá e que exames da combinação a pessoa já fez.
• Os exames de Matemática contam para as provas que a DGES aceita (a Matemática A serve para Matemática, Matemática A e MACS).</t>
  </si>
  <si>
    <t xml:space="preserve">Código de 23/10 no PR #44 (ideia proposta pelo Claude e aceite pelo PO), feito antes do sprint. 27/10: entra no Sprint 4 por decisão do PO; documentação em docs/US44/ (PR #48); aceite pelo PO a 27/10.</t>
  </si>
  <si>
    <t xml:space="preserve">US43</t>
  </si>
  <si>
    <t xml:space="preserve">Partilhar o plano</t>
  </si>
  <si>
    <t xml:space="preserve">Como candidato, quero partilhar o meu plano com quem me ajuda a decidir (pais, explicador), com uma ligação só de leitura, para pedir opinião sem dar a minha palavra-passe.</t>
  </si>
  <si>
    <t xml:space="preserve">• Ligação com um código aleatório; quem a tem vê o plano sem iniciar sessão.
• Mostra o primeiro nome, as opções, a nota de candidatura e a situação; nunca o email, a média nem os exames.
• «Deixar de partilhar» invalida a ligação de imediato.
• A página não é indexada pelos motores de pesquisa.</t>
  </si>
  <si>
    <t xml:space="preserve">Could</t>
  </si>
  <si>
    <t xml:space="preserve">Código de 23/10 no PR #44 (ideia proposta pelo Claude e aceite pelo PO), feito antes do sprint. 27/10: entra no Sprint 4 por decisão do PO; documentação em docs/US43/ (PR #48); aceite pelo PO a 27/10.</t>
  </si>
  <si>
    <t xml:space="preserve">US45</t>
  </si>
  <si>
    <t xml:space="preserve">Plano B: 2.ª fase</t>
  </si>
  <si>
    <t xml:space="preserve">Como candidato, quero ver cursos das áreas do meu plano que tiveram vagas na 2.ª fase e a que a minha nota chegava, para ter uma alternativa se não entrar na 1.ª fase.</t>
  </si>
  <si>
    <t xml:space="preserve">• Vagas, colocados e último colocado da 2.ª fase de 2025 (DGES).
• Só cursos fora do plano, das mesmas áreas, onde a nota da pessoa chegava ao último colocado da 2.ª fase (ou, sem essa nota, onde sobraram vagas).
• Aviso: as vagas da 2.ª fase são as que sobram da 1.ª e mudam todos os anos.</t>
  </si>
  <si>
    <t xml:space="preserve">Código de 23/10 no PR #44 (ideia proposta pelo Claude e aceite pelo PO), feito antes do sprint. 27/10: entra no Sprint 4 por decisão do PO; documentação em docs/US45/ (PR #48); aceite pelo PO a 27/10.</t>
  </si>
  <si>
    <t xml:space="preserve">US37</t>
  </si>
  <si>
    <t xml:space="preserve">Assistente que conhece as minhas notas</t>
  </si>
  <si>
    <t xml:space="preserve">Como pessoa indecisa, quero que o assistente tenha em conta as provas que fiz e a minha nota, para não me sugerir cursos a que não posso concorrer.</t>
  </si>
  <si>
    <t xml:space="preserve">• Só com autorização da pessoa, o LLM recebe as provas feitas e um intervalo de nota (nunca a média exata, RNF12).
• Cursos a que falta uma prova não são sugeridos, ou vêm assinalados.
• Os testes usam o LLM falso.</t>
  </si>
  <si>
    <t xml:space="preserve">Backlog</t>
  </si>
  <si>
    <t xml:space="preserve">Por fazer</t>
  </si>
  <si>
    <t xml:space="preserve">Os termos do Gemini excluem menores de 18, e muitos candidatos têm 17 anos (ponto 14 dos requisitos).</t>
  </si>
  <si>
    <t xml:space="preserve">US46</t>
  </si>
  <si>
    <t xml:space="preserve">Exportar os meus dados</t>
  </si>
  <si>
    <t xml:space="preserve">Como utilizador, quero descarregar todos os dados que o OptaBem guarda sobre mim, para exercer o meu direito de acesso e de portabilidade.</t>
  </si>
  <si>
    <t xml:space="preserve">• Ficheiro JSON com a conta (sem a palavra-passe), as decisões do percurso, as notas e o plano de candidatura.
• Pede a palavra-passe antes de descarregar.
• Nunca inclui dados de outros utilizadores.</t>
  </si>
  <si>
    <t xml:space="preserve">27/10: story nova, com a parte do RF17 que saiu da US17 a 22/10 (RNF01, RGPD).</t>
  </si>
  <si>
    <t xml:space="preserve">US47</t>
  </si>
  <si>
    <t xml:space="preserve">Recuperar a palavra-passe</t>
  </si>
  <si>
    <t xml:space="preserve">Como utilizador que se esqueceu da palavra-passe, quero receber uma ligação para definir uma nova, para não perder a conta.</t>
  </si>
  <si>
    <t xml:space="preserve">• Ligação de uso único, que expira ao fim de 1 hora.
• A mensagem é a mesma quer a conta exista quer não.
• Depois de mudar a palavra-passe, as sessões abertas terminam.</t>
  </si>
  <si>
    <t xml:space="preserve">27/10: story nova, para a parte do RF02 que não tinha story. Precisa de o site enviar emails reais (hoje não envia).</t>
  </si>
  <si>
    <t xml:space="preserve">US48</t>
  </si>
  <si>
    <t xml:space="preserve">Recolha completa das licenciaturas (DGES)</t>
  </si>
  <si>
    <t xml:space="preserve">Como pessoa indecisa, quero que o catálogo tenha todas as licenciaturas e mestrados integrados do concurso nacional, para não deixar de fora um curso que me sirva.</t>
  </si>
  <si>
    <t xml:space="preserve">• O script da US04 corre até ao fim sobre todas as instituições do concurso nacional.
• O dados/README.md diz quantos cursos ficaram e quantos não têm condições de acesso ou nota do último colocado.
• A aplicação e os testes continuam a funcionar com o catálogo completo (RNF03: páginas em menos de 2 s).</t>
  </si>
  <si>
    <t xml:space="preserve">27/10: separada da US04 (decisão do PO). O código já existe; falta correr a recolha, que exige o computador ligado uma noite inteira.</t>
  </si>
  <si>
    <t xml:space="preserve">US39</t>
  </si>
  <si>
    <t xml:space="preserve">Corrigir e esconder cursos do catálogo (gestão)</t>
  </si>
  <si>
    <t xml:space="preserve">Como administrador, quero corrigir a descrição e as saídas profissionais de um curso, ou escondê-lo, para o catálogo não ter erros sem mexer no ficheiro.</t>
  </si>
  <si>
    <t xml:space="preserve">• Só na área de gestão.
• As correções ficam na base de dados, por cima dos dados da DGES (a recolha seguinte não as apaga).
• Fica registado quem alterou e quando.
• Sem acesso aos dados dos alunos.</t>
  </si>
  <si>
    <t xml:space="preserve">Sugestão de um colega (editar a base de dados na gestão), reescrita com uma necessidade concreta: um editor genérico de tabelas daria aos administradores os dados dos alunos. Precisa do catálogo na base de dados.</t>
  </si>
  <si>
    <t xml:space="preserve">US38</t>
  </si>
  <si>
    <t xml:space="preserve">Datas do concurso no percurso</t>
  </si>
  <si>
    <t xml:space="preserve">Como candidato, quero ver as datas das fases do concurso nacional, para não falhar prazos.</t>
  </si>
  <si>
    <t xml:space="preserve">• Datas das 3 fases do concurso, com a ligação para a DGES.
• O passo atual do percurso mostra o próximo prazo.</t>
  </si>
  <si>
    <t xml:space="preserve">Story de 23/10, ainda sem código.</t>
  </si>
  <si>
    <t xml:space="preserve">Total de story points</t>
  </si>
  <si>
    <t xml:space="preserve">Story points concluídos (Estado = Feito)</t>
  </si>
  <si>
    <t xml:space="preserve">Nota (27/10): as 22 stories das opcionais e a US32 (fundida na US29) estão na folha «Arquivo (opcionais)», com o motivo de cada uma. As US40 a US45 entraram no Sprint 4 a 27/10 (decisão do PO): o código estava feito; no sprint sobra documentação, testes e revisão.</t>
  </si>
  <si>
    <t xml:space="preserve">Plano de sprints — OptaBem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</si>
  <si>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</si>
  <si>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</si>
  <si>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</si>
  <si>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</si>
  <si>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</si>
  <si>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</si>
  <si>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</si>
  <si>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</si>
  <si>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</si>
  <si>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</si>
  <si>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</si>
  <si>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recebe 2 a 3 cursos do catálogo com explicação e escolhe um, ficando a decisão registada no percurso.</t>
  </si>
  <si>
    <t xml:space="preserve">US29, US30, US31</t>
  </si>
  <si>
    <t xml:space="preserve">Uma pessoa indecisa filtra, consulta e compara cursos de várias instituições, e pode apagar a sua conta e todos os seus dados (22/10 a 29/10; concluído a 23/10).</t>
  </si>
  <si>
    <t xml:space="preserve">US05, US17</t>
  </si>
  <si>
    <t xml:space="preserve">Quem escolheu um curso prepara a candidatura: vê as condições de acesso, a tendência e a procura de cada curso, indica as suas notas, vê a sua nota em cada curso e quanto precisa nos exames, ordena as 6 opções, descobre que exames lhe abrem mais portas, tem um plano B para a 2.ª fase e pode partilhar o plano; o catálogo passa a ter as licenciaturas da DGES (29/10 a 05/11; a confirmar com o docente).</t>
  </si>
  <si>
    <t xml:space="preserve">US04, US33–US36, US40–US45</t>
  </si>
  <si>
    <t xml:space="preserve">Fora desta release, por ordem de prioridade. As opcionais estão na folha «Arquivo (opcionais)».</t>
  </si>
  <si>
    <t xml:space="preserve">US37, US46, US47, US48, US39, US38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</si>
  <si>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</si>
  <si>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</si>
  <si>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</si>
  <si>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</si>
  <si>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</si>
  <si>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</si>
  <si>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</si>
  <si>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</si>
  <si>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</si>
  <si>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</si>
  <si>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</si>
  <si>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</si>
  <si>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</si>
  <si>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</si>
  <si>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</si>
  <si>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</si>
  <si>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</si>
  <si>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</si>
  <si>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</si>
  <si>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</si>
  <si>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</si>
  <si>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</si>
  <si>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</si>
  <si>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</si>
  <si>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</si>
  <si>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</si>
  <si>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</si>
  <si>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</si>
  <si>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</si>
  <si>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Sprint Planning do Sprint 2 (20/10/2026, decisão do PO)</t>
  </si>
  <si>
    <t xml:space="preserve">• A US29 e a US30 (8 SP) foram feitas antes de o sprint começar (PR #19, #20 e #22 a #24). Para o sprint ter trabalho novo, entra a US31 (5 SP), antecipada do Sprint 3.</t>
  </si>
  <si>
    <t xml:space="preserve">• O Sprint 2 fica com 13 SP planeados, acima da velocidade (10), mas só 5 SP são trabalho novo. O Sprint 3 fica com a US05 (5 SP) e 5 SP por planear: rever no fim do Sprint 2.</t>
  </si>
  <si>
    <t xml:space="preserve">• Ponto 14 decidido: o OptaBem é um protótipo usado pela equipa e na demonstração, com aviso de 18+ na conversa; fica escrito no relatório.</t>
  </si>
  <si>
    <t xml:space="preserve">• Servidor Ollama da faculdade testado e posto de parte: lento e não obedece ao pedido de sugestão (PR #25 e #26; 05-spike-llm.md, secção 7). Fica o Gemini.</t>
  </si>
  <si>
    <t xml:space="preserve">Sprint Review do Sprint 2 e Sprint Planning do Sprint 3 (22/10/2026, decisão dos PO)</t>
  </si>
  <si>
    <t xml:space="preserve">• Sprint Review: US29, US30 e US31 aceites, 13 de 13 SP. O percurso completo foi testado com o Gemini real, também noutro computador.</t>
  </si>
  <si>
    <t xml:space="preserve">• Até à entrega de 05/11, o centro do produto são os cursos. As opcionais saíram do site (PR #33) e as suas stories passam para segundo plano: US06 e US07 saem do Sprint 4 (Must → Should).</t>
  </si>
  <si>
    <t xml:space="preserve">• Sprints de uma semana: Sprint 3 de 22/10 a 29/10 e Sprint 4 de 29/10 a 05/11.</t>
  </si>
  <si>
    <t xml:space="preserve">• Sprint 3: US05 (5 SP) e US17 (3 SP, sobe do Backlog e passa a Must), com 2 SP de folga.</t>
  </si>
  <si>
    <t xml:space="preserve">• Sprint 4: uma story nova a decidir com o docente; a US04 entra se houver folga. O código fecha por volta de 03/11, para o relatório e a demonstração.</t>
  </si>
  <si>
    <t xml:space="preserve">• A revisão de 22/10 (segurança do túnel, menu do aluno, textos) fica adiada por decisão do PO; o túnel é só para a equipa.</t>
  </si>
  <si>
    <t xml:space="preserve">Sprint Review do Sprint 3 (23/10/2026, decisão dos PO)</t>
  </si>
  <si>
    <t xml:space="preserve">• US05 e US17 aceites, 7 de 7 SP. As duas stories foram testadas pelos PO (filtros, ficha, comparação e apagar a conta).</t>
  </si>
  <si>
    <t xml:space="preserve">• O sprint fecha antes de 29/10 porque o objetivo foi cumprido. Entrou também, sem story, o menu fixo no topo (PR #40).</t>
  </si>
  <si>
    <t xml:space="preserve">• No fecho, um teste da US17 que dependia da data em que corria foi corrigido (sem mudanças no código da aplicação).</t>
  </si>
  <si>
    <t xml:space="preserve">• Sprint 4 por planear: a story nova fica a decidir com o docente.</t>
  </si>
  <si>
    <t xml:space="preserve">Replaneamento de 23/10/2026 (decisões do PO, com o protótipo do PR #44)</t>
  </si>
  <si>
    <t xml:space="preserve">• O plano de candidatura ao Concurso Nacional de Acesso substitui as opcionais: épico novo E12 com a US33 (condições de acesso), US34 (notas), US35 (nota por curso), US36 (as 6 opções), US37 (assistente com as notas) e US38 (datas do concurso).</t>
  </si>
  <si>
    <t xml:space="preserve">• As 22 stories das opcionais passam a Won't (fase 2) e ficam no fim do backlog, para a rastreabilidade.</t>
  </si>
  <si>
    <t xml:space="preserve">• US04 reescrita: o catálogo vem da DGES por recolha, em vez de ser importado por CSV na gestão; passa a Must e entra no Sprint 4.</t>
  </si>
  <si>
    <t xml:space="preserve">• US39 nova (gestão do catálogo), a partir da sugestão de um colega de editar a base de dados na área de gestão; fica no Backlog (Should).</t>
  </si>
  <si>
    <t xml:space="preserve">• Atenção: o Sprint 4 fica com 18 SP planeados, acima da velocidade (10). O código das US33 a US36 foi feito antes do sprint (protótipo), como a US29 e a US30 no Sprint 2. Se o docente achar demais, a US36 é a primeira a sair (é Should).</t>
  </si>
  <si>
    <t xml:space="preserve">• Sem story: o registo pede o nome, terminar sessão volta à página inicial e «As minhas decisões» sai do menu (PR #43 e #44).</t>
  </si>
  <si>
    <t xml:space="preserve">• Correção: o Sprint Planning de 22/10 dizia «US17 (3 SP)»; a US17 tem 2 SP (o total de 7 SP da Sprint Review está certo).</t>
  </si>
  <si>
    <t xml:space="preserve">• A story do Sprint 4 tem de ser confirmada com o docente.</t>
  </si>
  <si>
    <t xml:space="preserve">• (23/10, mais tarde) Stories novas US40 a US43, propostas pelo Claude e aceites pelo PO: quanto preciso no exame, tendência do último colocado, procura do curso e partilhar o plano. Feitas no PR #44.</t>
  </si>
  <si>
    <t xml:space="preserve">• Atenção: com elas, o Sprint 4 fica com 27 SP planeados para uma velocidade de 10. Quase todo o código já está feito (protótipo), mas a documentação de cada story (requisitos, use case, BPMN) não. Se o docente achar demais, saem primeiro a US43 (Could) e depois a US36, US40, US41 e US42 (Should).</t>
  </si>
  <si>
    <t xml:space="preserve">• Sem story: a gestão passa a ativar contas por confirmar, enquanto o site não envia emails reais (PR #43).</t>
  </si>
  <si>
    <t xml:space="preserve">• (23/10, ao fim do dia) Stories novas US44 (que exames me abrem mais portas) e US45 (plano B: 2.ª fase), propostas pelo Claude e escolhidas pelo PO. Feitas no PR #44.</t>
  </si>
  <si>
    <t xml:space="preserve">• O Sprint 4 fica com 32 SP planeados para uma velocidade de 10. Isto não é um planeamento realista em Scrum: o código foi feito antes do sprint, como protótipo. No Sprint Planning de 29/10, os PO e o docente decidem que stories entram; as restantes voltam ao Backlog com o código já feito.</t>
  </si>
  <si>
    <t xml:space="preserve">• Esclarecimento: o Sprint 4 ainda não começou (29/10 a 05/11). Um sprint fecha na Sprint Review, no fim do tempo marcado; aceitar um PR é o que faz uma story contar como Feita.</t>
  </si>
  <si>
    <t xml:space="preserve">Reestruturação de 27/10/2026 (autorizada pelo docente; decisão do PO)</t>
  </si>
  <si>
    <t xml:space="preserve">• O docente autorizou mudar o backlog a fundo, para corresponder a um recomendador de cursos e não de opcionais.</t>
  </si>
  <si>
    <t xml:space="preserve">• As 22 stories das opcionais (US06 a US16 e US18 a US28) e a US32 (fundida na US29) saem do Product Backlog para a folha «Arquivo (opcionais)», com o motivo de cada uma. Os IDs não são reutilizados.</t>
  </si>
  <si>
    <t xml:space="preserve">• Épicos reorganizados: E1 Conta e privacidade, E2 Catálogo de cursos, E3 Orientação com o assistente, E4 Plano de candidatura. Os épicos antigos ficam no arquivo.</t>
  </si>
  <si>
    <t xml:space="preserve">• Sprint 4 reduzido ao essencial: US04 e US33 a US36 (18 SP). As US40 a US45 (14 SP) voltam ao backlog com o código pronto, no estado novo «Protótipo».</t>
  </si>
  <si>
    <t xml:space="preserve">• Stories novas no backlog: US46 (exportar os meus dados, a parte do RF17 que saiu da US17) e US47 (recuperar a palavra-passe, a parte do RF02 sem story).</t>
  </si>
  <si>
    <t xml:space="preserve">• US04 dividida (decisão do PO): fica o catálogo recolhido da DGES com os 174 cursos já recolhidos; a recolha de todas as licenciaturas passa a ser a US48 (Backlog), porque exige o computador ligado uma noite inteira.</t>
  </si>
  <si>
    <t xml:space="preserve">• As notas de cada story passam a dizer só o estado atual; o histórico fica nesta folha.</t>
  </si>
  <si>
    <t xml:space="preserve">• Atenção: mesmo assim, o Sprint 4 tem 18 SP para uma velocidade de 10. Só é defensável porque o código foi feito antes, como protótipo. A confirmar com o docente no Sprint Planning de 29/10.</t>
  </si>
  <si>
    <t xml:space="preserve">Sprint 4 alargado (27/10/2026, mais tarde; decisão do PO)</t>
  </si>
  <si>
    <t xml:space="preserve">• As US40 a US45 voltam ao Sprint 4: são partes importantes do produto e o código já está feito (PR #44). O Sprint 4 passa de 18 para 32 SP.</t>
  </si>
  <si>
    <t xml:space="preserve">• Atenção: 32 SP para uma velocidade de 10 não é um planeamento realista de trabalho novo. Só se defende porque o código foi feito antes do sprint, como protótipo: no sprint sobra documentação, testes, revisão e aceitação. Fica escrito no relatório.</t>
  </si>
  <si>
    <t xml:space="preserve">• A documentação das US04, US33 a US36 e US40 a US45 está em docs/USNN/ (PR #47), com testes novos para os critérios que não tinham teste.</t>
  </si>
  <si>
    <t xml:space="preserve">Aceitação das stories do Sprint 4 (27/10/2026, decisão do PO)</t>
  </si>
  <si>
    <t xml:space="preserve">• O PO aceitou as 11 stories do Sprint 4 (US04, US33 a US36, US40 a US45): o código foi feito a 23/10, antes do sprint, e a documentação e os testes em falta a 27/10. Passam a Feito: 32 de 32 SP.</t>
  </si>
  <si>
    <t xml:space="preserve">• Antes de aceitar, o Claude verificou as 11 stories com o catálogo real e encontrou dois erros, corrigidos no mesmo dia: os cursos do ensino privado entravam no plano do concurso nacional (US36, US35, US44, US45), e as Matemáticas só ligavam a prova 16 à 19 (US34, US35, US44; correspondência da DGES: a Matemática A dá as provas 16, 17 e 19, a Matemática B a 16 e a 17, o MACS a 17).</t>
  </si>
  <si>
    <t xml:space="preserve">• Fica registado que a aceitação aconteceu antes da data de início marcada para o Sprint 4 (29/10) e com a revisão do Simão (PR #48) ainda pendente.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</si>
  <si>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</si>
  <si>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</si>
  <si>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</si>
  <si>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</si>
  <si>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</si>
  <si>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</si>
  <si>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</si>
  <si>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</si>
  <si>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Won't</t>
  </si>
  <si>
    <t xml:space="preserve">Fora desta release</t>
  </si>
  <si>
    <t xml:space="preserve">Nota (27/10): Won't fica a 0 porque as stories das opcionais (90 SP) saíram para a folha «Arquivo (opcionais)».</t>
  </si>
  <si>
    <t xml:space="preserve">Arquivo — stories das opcionais (fora do produto)</t>
  </si>
  <si>
    <t xml:space="preserve">Até 23/10/2026 o OptaBem era também um recomendador de UCs opcionais. A 27/10, com autorização do docente, estas stories saíram do Product Backlog. Porquê: (1) o OptaBem serve quem ainda está a escolher curso, e essa pessoa não tem opcionais para escolher; (2) no ensino superior português as opcionais pesam pouco no percurso, e a decisão com consequências é a candidatura (épico E4); (3) recomendar opcionais exige avaliações de muitos alunos do mesmo curso, que um protótipo da equipa nunca teria (RN04 e RN05 deixariam quase tudo vazio); (4) não cabiam na velocidade real (10 SP por sprint). Ficam aqui para a rastreabilidade; os IDs não são reutilizados.</t>
  </si>
  <si>
    <t xml:space="preserve">Épico antigo</t>
  </si>
  <si>
    <t xml:space="preserve">Porque fica fora</t>
  </si>
  <si>
    <t xml:space="preserve">US06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</si>
  <si>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</si>
  <si>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</si>
  <si>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</si>
  <si>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Pressupõe um aluno já inscrito num curso; o público do OptaBem ainda está a escolher curso.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</si>
  <si>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</si>
  <si>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</si>
  <si>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</si>
  <si>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</si>
  <si>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Base das recomendações colaborativas; sem alunos reais do mesmo curso não há dados.</t>
  </si>
  <si>
    <t xml:space="preserve">US09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</si>
  <si>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</si>
  <si>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</si>
  <si>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</si>
  <si>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Só faz sentido se houver avaliações de UCs (US07).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</si>
  <si>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</si>
  <si>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</si>
  <si>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</si>
  <si>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</si>
  <si>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</si>
  <si>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Precisa de avaliações. O equivalente para cursos é a conversa com o assistente (US29 e US30).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</si>
  <si>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</si>
  <si>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</si>
  <si>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</si>
  <si>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</si>
  <si>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Só servia para alimentar o motor de recomendação de opcionais.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</si>
  <si>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</si>
  <si>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</si>
  <si>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</si>
  <si>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</si>
  <si>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US20</t>
  </si>
  <si>
    <t xml:space="preserve">Servia para testar o motor de recomendação de opcionais.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</si>
  <si>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</si>
  <si>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</si>
  <si>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</si>
  <si>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</si>
  <si>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Precisa de muitos alunos com avaliações em comum (RN05); inviável numa demonstração.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</si>
  <si>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</si>
  <si>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</si>
  <si>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</si>
  <si>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</si>
  <si>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</si>
  <si>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</si>
  <si>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Regra do motor de opcionais.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</si>
  <si>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</si>
  <si>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</si>
  <si>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</si>
  <si>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</si>
  <si>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</si>
  <si>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A explicação das sugestões de curso já existe (US30).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</si>
  <si>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</si>
  <si>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</si>
  <si>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</si>
  <si>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US21</t>
  </si>
  <si>
    <t xml:space="preserve">Mede um motor de recomendação que não existe.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</si>
  <si>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</si>
  <si>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</si>
  <si>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</si>
  <si>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</si>
  <si>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</si>
  <si>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US24</t>
  </si>
  <si>
    <t xml:space="preserve">Depende das avaliações de UCs.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</si>
  <si>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</si>
  <si>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</si>
  <si>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</si>
  <si>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</si>
  <si>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</si>
  <si>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</si>
  <si>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</si>
  <si>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</si>
  <si>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US25</t>
  </si>
  <si>
    <t xml:space="preserve">Depende dos comentários (US18).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</si>
  <si>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</si>
  <si>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</si>
  <si>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</si>
  <si>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Filtro das recomendações de opcionais; os cursos têm filtros próprios (US05).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</si>
  <si>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</si>
  <si>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</si>
  <si>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</si>
  <si>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Ajuste do motor de opcionais.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</si>
  <si>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</si>
  <si>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</si>
  <si>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</si>
  <si>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</si>
  <si>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</si>
  <si>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US23</t>
  </si>
  <si>
    <t xml:space="preserve">Depende de várias estratégias do motor, incluindo o SVD, que já estava fora do plano.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</si>
  <si>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</si>
  <si>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</si>
  <si>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</si>
  <si>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As vagas das UCs mudam a cada semestre e não há fonte pública.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</si>
  <si>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</si>
  <si>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</si>
  <si>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</si>
  <si>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Feedback sobre recomendações de opcionais.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</si>
  <si>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</si>
  <si>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</si>
  <si>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</si>
  <si>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</si>
  <si>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Mede a participação nas avaliações de UCs.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</si>
  <si>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</si>
  <si>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</si>
  <si>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</si>
  <si>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</si>
  <si>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Precisa de avaliações e não tinha requisito associado.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</si>
  <si>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</si>
  <si>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</si>
  <si>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</si>
  <si>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Os horários das UCs não são públicos de forma uniforme; 8 SP para um caso raro.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</si>
  <si>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</si>
  <si>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</si>
  <si>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</si>
  <si>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</si>
  <si>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Depende dos períodos de avaliação e não tinha requisito associado.</t>
  </si>
  <si>
    <t xml:space="preserve">US32</t>
  </si>
  <si>
    <t xml:space="preserve">E11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</si>
  <si>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</si>
  <si>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</si>
  <si>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</si>
  <si>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 na US29 a 14/10 (issue #15): a conversa com o assistente passou a ser a própria orientação.</t>
  </si>
  <si>
    <t xml:space="preserve">Total de story points arquivados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</si>
</sst>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EDE4F5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DDEBF7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32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32</c:v>
                </c:pt>
              </c:numCache>
            </c:numRef>
          </c:val>
        </c:ser>
        <c:gapWidth val="150"/>
        <c:overlap val="0"/>
        <c:axId val="97415770"/>
        <c:axId val="26067332"/>
      </c:barChart>
      <c:catAx>
        <c:axId val="97415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067332"/>
        <c:crosses val="autoZero"/>
        <c:auto val="1"/>
        <c:lblAlgn val="ctr"/>
        <c:lblOffset val="100"/>
        <c:noMultiLvlLbl val="0"/>
      </c:catAx>
      <c:valAx>
        <c:axId val="2606733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741577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2087640</xdr:colOff>
      <xdr:row>24</xdr:row>
      <xdr:rowOff>84600</xdr:rowOff>
    </xdr:to>
    <xdr:graphicFrame>
      <xdr:nvGraphicFramePr>
        <xdr:cNvPr id="0" name="Chart 1"/>
        <xdr:cNvGraphicFramePr/>
      </xdr:nvGraphicFramePr>
      <xdr:xfrm>
        <a:off x="775440" y="3992040"/>
        <a:ext cx="5752800" cy="2512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7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22</v>
      </c>
      <c r="K8" s="8"/>
      <c r="L8" s="8" t="s">
        <v>41</v>
      </c>
      <c r="M8" s="5" t="s">
        <v>34</v>
      </c>
    </row>
    <row r="9" customFormat="false" ht="75" hidden="false" customHeight="true" outlineLevel="0" collapsed="false">
      <c r="A9" s="5" t="n">
        <v>5</v>
      </c>
      <c r="B9" s="5" t="s">
        <v>42</v>
      </c>
      <c r="C9" s="5" t="s">
        <v>36</v>
      </c>
      <c r="D9" s="6" t="s">
        <v>43</v>
      </c>
      <c r="E9" s="6" t="s">
        <v>44</v>
      </c>
      <c r="F9" s="6" t="s">
        <v>45</v>
      </c>
      <c r="G9" s="7" t="n">
        <v>3</v>
      </c>
      <c r="H9" s="5" t="s">
        <v>20</v>
      </c>
      <c r="I9" s="7" t="s">
        <v>40</v>
      </c>
      <c r="J9" s="7" t="s">
        <v>22</v>
      </c>
      <c r="K9" s="8"/>
      <c r="L9" s="8" t="s">
        <v>46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47</v>
      </c>
      <c r="C10" s="5" t="s">
        <v>36</v>
      </c>
      <c r="D10" s="6" t="s">
        <v>48</v>
      </c>
      <c r="E10" s="6" t="s">
        <v>49</v>
      </c>
      <c r="F10" s="6" t="s">
        <v>50</v>
      </c>
      <c r="G10" s="7" t="n">
        <v>5</v>
      </c>
      <c r="H10" s="5" t="s">
        <v>20</v>
      </c>
      <c r="I10" s="7" t="s">
        <v>40</v>
      </c>
      <c r="J10" s="7" t="s">
        <v>22</v>
      </c>
      <c r="K10" s="8"/>
      <c r="L10" s="8" t="s">
        <v>51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52</v>
      </c>
      <c r="C11" s="5" t="s">
        <v>53</v>
      </c>
      <c r="D11" s="6" t="s">
        <v>54</v>
      </c>
      <c r="E11" s="6" t="s">
        <v>55</v>
      </c>
      <c r="F11" s="6" t="s">
        <v>56</v>
      </c>
      <c r="G11" s="7" t="n">
        <v>5</v>
      </c>
      <c r="H11" s="5" t="s">
        <v>20</v>
      </c>
      <c r="I11" s="7" t="s">
        <v>57</v>
      </c>
      <c r="J11" s="7" t="s">
        <v>22</v>
      </c>
      <c r="K11" s="8"/>
      <c r="L11" s="8" t="s">
        <v>58</v>
      </c>
      <c r="M11" s="5" t="s">
        <v>59</v>
      </c>
    </row>
    <row r="12" customFormat="false" ht="75" hidden="false" customHeight="true" outlineLevel="0" collapsed="false">
      <c r="A12" s="5" t="n">
        <v>8</v>
      </c>
      <c r="B12" s="5" t="s">
        <v>60</v>
      </c>
      <c r="C12" s="5" t="s">
        <v>16</v>
      </c>
      <c r="D12" s="6" t="s">
        <v>61</v>
      </c>
      <c r="E12" s="6" t="s">
        <v>62</v>
      </c>
      <c r="F12" s="6" t="s">
        <v>63</v>
      </c>
      <c r="G12" s="7" t="n">
        <v>2</v>
      </c>
      <c r="H12" s="5" t="s">
        <v>20</v>
      </c>
      <c r="I12" s="7" t="s">
        <v>57</v>
      </c>
      <c r="J12" s="7" t="s">
        <v>22</v>
      </c>
      <c r="K12" s="8"/>
      <c r="L12" s="8" t="s">
        <v>64</v>
      </c>
      <c r="M12" s="5" t="s">
        <v>65</v>
      </c>
    </row>
    <row r="13" customFormat="false" ht="75" hidden="false" customHeight="true" outlineLevel="0" collapsed="false">
      <c r="A13" s="5" t="n">
        <v>9</v>
      </c>
      <c r="B13" s="5" t="s">
        <v>59</v>
      </c>
      <c r="C13" s="5" t="s">
        <v>53</v>
      </c>
      <c r="D13" s="6" t="s">
        <v>66</v>
      </c>
      <c r="E13" s="6" t="s">
        <v>67</v>
      </c>
      <c r="F13" s="6" t="s">
        <v>68</v>
      </c>
      <c r="G13" s="7" t="n">
        <v>5</v>
      </c>
      <c r="H13" s="5" t="s">
        <v>20</v>
      </c>
      <c r="I13" s="7" t="s">
        <v>69</v>
      </c>
      <c r="J13" s="7" t="s">
        <v>22</v>
      </c>
      <c r="K13" s="8"/>
      <c r="L13" s="8" t="s">
        <v>70</v>
      </c>
      <c r="M13" s="5" t="s">
        <v>29</v>
      </c>
    </row>
    <row r="14" customFormat="false" ht="75" hidden="false" customHeight="true" outlineLevel="0" collapsed="false">
      <c r="A14" s="5" t="n">
        <v>10</v>
      </c>
      <c r="B14" s="5" t="s">
        <v>71</v>
      </c>
      <c r="C14" s="5" t="s">
        <v>72</v>
      </c>
      <c r="D14" s="6" t="s">
        <v>73</v>
      </c>
      <c r="E14" s="6" t="s">
        <v>74</v>
      </c>
      <c r="F14" s="6" t="s">
        <v>75</v>
      </c>
      <c r="G14" s="7" t="n">
        <v>3</v>
      </c>
      <c r="H14" s="5" t="s">
        <v>20</v>
      </c>
      <c r="I14" s="7" t="s">
        <v>69</v>
      </c>
      <c r="J14" s="7" t="s">
        <v>22</v>
      </c>
      <c r="K14" s="8"/>
      <c r="L14" s="8" t="s">
        <v>76</v>
      </c>
      <c r="M14" s="5" t="s">
        <v>77</v>
      </c>
    </row>
    <row r="15" customFormat="false" ht="75" hidden="false" customHeight="true" outlineLevel="0" collapsed="false">
      <c r="A15" s="5" t="n">
        <v>11</v>
      </c>
      <c r="B15" s="5" t="s">
        <v>78</v>
      </c>
      <c r="C15" s="5" t="s">
        <v>72</v>
      </c>
      <c r="D15" s="6" t="s">
        <v>79</v>
      </c>
      <c r="E15" s="6" t="s">
        <v>80</v>
      </c>
      <c r="F15" s="6" t="s">
        <v>81</v>
      </c>
      <c r="G15" s="7" t="n">
        <v>2</v>
      </c>
      <c r="H15" s="5" t="s">
        <v>20</v>
      </c>
      <c r="I15" s="7" t="s">
        <v>69</v>
      </c>
      <c r="J15" s="7" t="s">
        <v>22</v>
      </c>
      <c r="K15" s="8"/>
      <c r="L15" s="8" t="s">
        <v>82</v>
      </c>
      <c r="M15" s="5" t="s">
        <v>77</v>
      </c>
    </row>
    <row r="16" customFormat="false" ht="75" hidden="false" customHeight="true" outlineLevel="0" collapsed="false">
      <c r="A16" s="5" t="n">
        <v>12</v>
      </c>
      <c r="B16" s="5" t="s">
        <v>83</v>
      </c>
      <c r="C16" s="5" t="s">
        <v>72</v>
      </c>
      <c r="D16" s="6" t="s">
        <v>84</v>
      </c>
      <c r="E16" s="6" t="s">
        <v>85</v>
      </c>
      <c r="F16" s="6" t="s">
        <v>86</v>
      </c>
      <c r="G16" s="7" t="n">
        <v>3</v>
      </c>
      <c r="H16" s="5" t="s">
        <v>20</v>
      </c>
      <c r="I16" s="7" t="s">
        <v>69</v>
      </c>
      <c r="J16" s="7" t="s">
        <v>22</v>
      </c>
      <c r="K16" s="8"/>
      <c r="L16" s="8" t="s">
        <v>87</v>
      </c>
      <c r="M16" s="5" t="s">
        <v>77</v>
      </c>
    </row>
    <row r="17" customFormat="false" ht="75" hidden="false" customHeight="true" outlineLevel="0" collapsed="false">
      <c r="A17" s="5" t="n">
        <v>13</v>
      </c>
      <c r="B17" s="5" t="s">
        <v>88</v>
      </c>
      <c r="C17" s="5" t="s">
        <v>72</v>
      </c>
      <c r="D17" s="6" t="s">
        <v>89</v>
      </c>
      <c r="E17" s="6" t="s">
        <v>90</v>
      </c>
      <c r="F17" s="6" t="s">
        <v>91</v>
      </c>
      <c r="G17" s="7" t="n">
        <v>5</v>
      </c>
      <c r="H17" s="5" t="s">
        <v>92</v>
      </c>
      <c r="I17" s="7" t="s">
        <v>69</v>
      </c>
      <c r="J17" s="7" t="s">
        <v>22</v>
      </c>
      <c r="K17" s="8"/>
      <c r="L17" s="8" t="s">
        <v>93</v>
      </c>
      <c r="M17" s="5" t="s">
        <v>77</v>
      </c>
    </row>
    <row r="18" customFormat="false" ht="75" hidden="false" customHeight="true" outlineLevel="0" collapsed="false">
      <c r="A18" s="5" t="n">
        <v>14</v>
      </c>
      <c r="B18" s="5" t="s">
        <v>94</v>
      </c>
      <c r="C18" s="5" t="s">
        <v>72</v>
      </c>
      <c r="D18" s="6" t="s">
        <v>95</v>
      </c>
      <c r="E18" s="6" t="s">
        <v>96</v>
      </c>
      <c r="F18" s="6" t="s">
        <v>97</v>
      </c>
      <c r="G18" s="7" t="n">
        <v>2</v>
      </c>
      <c r="H18" s="5" t="s">
        <v>92</v>
      </c>
      <c r="I18" s="7" t="s">
        <v>69</v>
      </c>
      <c r="J18" s="7" t="s">
        <v>22</v>
      </c>
      <c r="K18" s="8"/>
      <c r="L18" s="8" t="s">
        <v>98</v>
      </c>
      <c r="M18" s="5" t="s">
        <v>77</v>
      </c>
    </row>
    <row r="19" customFormat="false" ht="75" hidden="false" customHeight="true" outlineLevel="0" collapsed="false">
      <c r="A19" s="5" t="n">
        <v>15</v>
      </c>
      <c r="B19" s="5" t="s">
        <v>99</v>
      </c>
      <c r="C19" s="5" t="s">
        <v>72</v>
      </c>
      <c r="D19" s="6" t="s">
        <v>100</v>
      </c>
      <c r="E19" s="6" t="s">
        <v>101</v>
      </c>
      <c r="F19" s="6" t="s">
        <v>102</v>
      </c>
      <c r="G19" s="7" t="n">
        <v>2</v>
      </c>
      <c r="H19" s="5" t="s">
        <v>92</v>
      </c>
      <c r="I19" s="7" t="s">
        <v>69</v>
      </c>
      <c r="J19" s="7" t="s">
        <v>22</v>
      </c>
      <c r="K19" s="8"/>
      <c r="L19" s="8" t="s">
        <v>103</v>
      </c>
      <c r="M19" s="5" t="s">
        <v>77</v>
      </c>
    </row>
    <row r="20" customFormat="false" ht="75" hidden="false" customHeight="true" outlineLevel="0" collapsed="false">
      <c r="A20" s="5" t="n">
        <v>16</v>
      </c>
      <c r="B20" s="5" t="s">
        <v>104</v>
      </c>
      <c r="C20" s="5" t="s">
        <v>72</v>
      </c>
      <c r="D20" s="6" t="s">
        <v>105</v>
      </c>
      <c r="E20" s="6" t="s">
        <v>106</v>
      </c>
      <c r="F20" s="6" t="s">
        <v>107</v>
      </c>
      <c r="G20" s="7" t="n">
        <v>2</v>
      </c>
      <c r="H20" s="5" t="s">
        <v>92</v>
      </c>
      <c r="I20" s="7" t="s">
        <v>69</v>
      </c>
      <c r="J20" s="7" t="s">
        <v>22</v>
      </c>
      <c r="K20" s="8"/>
      <c r="L20" s="8" t="s">
        <v>108</v>
      </c>
      <c r="M20" s="5" t="s">
        <v>77</v>
      </c>
    </row>
    <row r="21" customFormat="false" ht="75" hidden="false" customHeight="true" outlineLevel="0" collapsed="false">
      <c r="A21" s="5" t="n">
        <v>17</v>
      </c>
      <c r="B21" s="5" t="s">
        <v>109</v>
      </c>
      <c r="C21" s="5" t="s">
        <v>72</v>
      </c>
      <c r="D21" s="6" t="s">
        <v>110</v>
      </c>
      <c r="E21" s="6" t="s">
        <v>111</v>
      </c>
      <c r="F21" s="6" t="s">
        <v>112</v>
      </c>
      <c r="G21" s="7" t="n">
        <v>3</v>
      </c>
      <c r="H21" s="5" t="s">
        <v>92</v>
      </c>
      <c r="I21" s="7" t="s">
        <v>69</v>
      </c>
      <c r="J21" s="7" t="s">
        <v>22</v>
      </c>
      <c r="K21" s="8"/>
      <c r="L21" s="8" t="s">
        <v>113</v>
      </c>
      <c r="M21" s="5" t="s">
        <v>77</v>
      </c>
    </row>
    <row r="22" customFormat="false" ht="75" hidden="false" customHeight="true" outlineLevel="0" collapsed="false">
      <c r="A22" s="5" t="n">
        <v>18</v>
      </c>
      <c r="B22" s="5" t="s">
        <v>114</v>
      </c>
      <c r="C22" s="5" t="s">
        <v>72</v>
      </c>
      <c r="D22" s="6" t="s">
        <v>115</v>
      </c>
      <c r="E22" s="6" t="s">
        <v>116</v>
      </c>
      <c r="F22" s="6" t="s">
        <v>117</v>
      </c>
      <c r="G22" s="7" t="n">
        <v>3</v>
      </c>
      <c r="H22" s="5" t="s">
        <v>118</v>
      </c>
      <c r="I22" s="7" t="s">
        <v>69</v>
      </c>
      <c r="J22" s="7" t="s">
        <v>22</v>
      </c>
      <c r="K22" s="8"/>
      <c r="L22" s="8" t="s">
        <v>119</v>
      </c>
      <c r="M22" s="5" t="s">
        <v>77</v>
      </c>
    </row>
    <row r="23" customFormat="false" ht="75" hidden="false" customHeight="true" outlineLevel="0" collapsed="false">
      <c r="A23" s="5" t="n">
        <v>19</v>
      </c>
      <c r="B23" s="5" t="s">
        <v>120</v>
      </c>
      <c r="C23" s="5" t="s">
        <v>72</v>
      </c>
      <c r="D23" s="6" t="s">
        <v>121</v>
      </c>
      <c r="E23" s="6" t="s">
        <v>122</v>
      </c>
      <c r="F23" s="6" t="s">
        <v>123</v>
      </c>
      <c r="G23" s="7" t="n">
        <v>2</v>
      </c>
      <c r="H23" s="5" t="s">
        <v>118</v>
      </c>
      <c r="I23" s="7" t="s">
        <v>69</v>
      </c>
      <c r="J23" s="7" t="s">
        <v>22</v>
      </c>
      <c r="K23" s="8"/>
      <c r="L23" s="8" t="s">
        <v>124</v>
      </c>
      <c r="M23" s="5" t="s">
        <v>77</v>
      </c>
    </row>
    <row r="24" customFormat="false" ht="75" hidden="false" customHeight="true" outlineLevel="0" collapsed="false">
      <c r="A24" s="5" t="n">
        <v>20</v>
      </c>
      <c r="B24" s="5" t="s">
        <v>125</v>
      </c>
      <c r="C24" s="5" t="s">
        <v>36</v>
      </c>
      <c r="D24" s="6" t="s">
        <v>126</v>
      </c>
      <c r="E24" s="6" t="s">
        <v>127</v>
      </c>
      <c r="F24" s="6" t="s">
        <v>128</v>
      </c>
      <c r="G24" s="7" t="n">
        <v>3</v>
      </c>
      <c r="H24" s="5" t="s">
        <v>92</v>
      </c>
      <c r="I24" s="7" t="s">
        <v>129</v>
      </c>
      <c r="J24" s="7" t="s">
        <v>130</v>
      </c>
      <c r="K24" s="8"/>
      <c r="L24" s="8" t="s">
        <v>131</v>
      </c>
      <c r="M24" s="5" t="s">
        <v>77</v>
      </c>
    </row>
    <row r="25" customFormat="false" ht="75" hidden="false" customHeight="true" outlineLevel="0" collapsed="false">
      <c r="A25" s="5" t="n">
        <v>21</v>
      </c>
      <c r="B25" s="5" t="s">
        <v>132</v>
      </c>
      <c r="C25" s="5" t="s">
        <v>16</v>
      </c>
      <c r="D25" s="6" t="s">
        <v>133</v>
      </c>
      <c r="E25" s="6" t="s">
        <v>134</v>
      </c>
      <c r="F25" s="6" t="s">
        <v>135</v>
      </c>
      <c r="G25" s="7" t="n">
        <v>2</v>
      </c>
      <c r="H25" s="5" t="s">
        <v>92</v>
      </c>
      <c r="I25" s="7" t="s">
        <v>129</v>
      </c>
      <c r="J25" s="7" t="s">
        <v>130</v>
      </c>
      <c r="K25" s="8"/>
      <c r="L25" s="8" t="s">
        <v>136</v>
      </c>
      <c r="M25" s="5" t="s">
        <v>77</v>
      </c>
    </row>
    <row r="26" customFormat="false" ht="75" hidden="false" customHeight="true" outlineLevel="0" collapsed="false">
      <c r="A26" s="5" t="n">
        <v>22</v>
      </c>
      <c r="B26" s="5" t="s">
        <v>137</v>
      </c>
      <c r="C26" s="5" t="s">
        <v>16</v>
      </c>
      <c r="D26" s="6" t="s">
        <v>138</v>
      </c>
      <c r="E26" s="6" t="s">
        <v>139</v>
      </c>
      <c r="F26" s="6" t="s">
        <v>140</v>
      </c>
      <c r="G26" s="7" t="n">
        <v>3</v>
      </c>
      <c r="H26" s="5" t="s">
        <v>92</v>
      </c>
      <c r="I26" s="7" t="s">
        <v>129</v>
      </c>
      <c r="J26" s="7" t="s">
        <v>130</v>
      </c>
      <c r="K26" s="8"/>
      <c r="L26" s="8" t="s">
        <v>141</v>
      </c>
      <c r="M26" s="5" t="s">
        <v>77</v>
      </c>
    </row>
    <row r="27" customFormat="false" ht="75" hidden="false" customHeight="true" outlineLevel="0" collapsed="false">
      <c r="A27" s="5" t="n">
        <v>23</v>
      </c>
      <c r="B27" s="5" t="s">
        <v>142</v>
      </c>
      <c r="C27" s="5" t="s">
        <v>53</v>
      </c>
      <c r="D27" s="6" t="s">
        <v>143</v>
      </c>
      <c r="E27" s="6" t="s">
        <v>144</v>
      </c>
      <c r="F27" s="6" t="s">
        <v>145</v>
      </c>
      <c r="G27" s="7" t="n">
        <v>2</v>
      </c>
      <c r="H27" s="5" t="s">
        <v>92</v>
      </c>
      <c r="I27" s="7" t="s">
        <v>129</v>
      </c>
      <c r="J27" s="7" t="s">
        <v>130</v>
      </c>
      <c r="K27" s="8"/>
      <c r="L27" s="8" t="s">
        <v>146</v>
      </c>
      <c r="M27" s="5" t="s">
        <v>77</v>
      </c>
    </row>
    <row r="28" customFormat="false" ht="75" hidden="false" customHeight="true" outlineLevel="0" collapsed="false">
      <c r="A28" s="5" t="n">
        <v>24</v>
      </c>
      <c r="B28" s="5" t="s">
        <v>147</v>
      </c>
      <c r="C28" s="5" t="s">
        <v>53</v>
      </c>
      <c r="D28" s="6" t="s">
        <v>148</v>
      </c>
      <c r="E28" s="6" t="s">
        <v>149</v>
      </c>
      <c r="F28" s="6" t="s">
        <v>150</v>
      </c>
      <c r="G28" s="7" t="n">
        <v>5</v>
      </c>
      <c r="H28" s="5" t="s">
        <v>92</v>
      </c>
      <c r="I28" s="7" t="s">
        <v>129</v>
      </c>
      <c r="J28" s="7" t="s">
        <v>130</v>
      </c>
      <c r="K28" s="8"/>
      <c r="L28" s="8" t="s">
        <v>151</v>
      </c>
      <c r="M28" s="5" t="s">
        <v>77</v>
      </c>
    </row>
    <row r="29" customFormat="false" ht="75" hidden="false" customHeight="true" outlineLevel="0" collapsed="false">
      <c r="A29" s="5" t="n">
        <v>25</v>
      </c>
      <c r="B29" s="5" t="s">
        <v>152</v>
      </c>
      <c r="C29" s="5" t="s">
        <v>72</v>
      </c>
      <c r="D29" s="6" t="s">
        <v>153</v>
      </c>
      <c r="E29" s="6" t="s">
        <v>154</v>
      </c>
      <c r="F29" s="6" t="s">
        <v>155</v>
      </c>
      <c r="G29" s="7" t="n">
        <v>2</v>
      </c>
      <c r="H29" s="5" t="s">
        <v>118</v>
      </c>
      <c r="I29" s="7" t="s">
        <v>129</v>
      </c>
      <c r="J29" s="7" t="s">
        <v>130</v>
      </c>
      <c r="K29" s="8"/>
      <c r="L29" s="8" t="s">
        <v>156</v>
      </c>
      <c r="M29" s="5" t="s">
        <v>77</v>
      </c>
    </row>
    <row r="30" customFormat="false" ht="15" hidden="false" customHeight="true" outlineLevel="0" collapsed="false">
      <c r="F30" s="9" t="s">
        <v>157</v>
      </c>
      <c r="G30" s="9" t="n">
        <f aca="false">SUM(G5:G29)</f>
        <v>79</v>
      </c>
    </row>
    <row r="31" customFormat="false" ht="15" hidden="false" customHeight="true" outlineLevel="0" collapsed="false">
      <c r="F31" s="9" t="s">
        <v>158</v>
      </c>
      <c r="G31" s="9" t="n">
        <f aca="false">SUMIF(J5:J29,"Feito",G5:G29)</f>
        <v>62</v>
      </c>
    </row>
    <row r="32" customFormat="false" ht="30" hidden="false" customHeight="true" outlineLevel="0" collapsed="false">
      <c r="F32" s="10" t="s">
        <v>159</v>
      </c>
    </row>
    <row r="33" customFormat="false" ht="15" hidden="false" customHeight="true" outlineLevel="0" collapsed="false"/>
    <row r="34" customFormat="false" ht="15" hidden="false" customHeight="true" outlineLevel="0" collapsed="false"/>
    <row r="35" customFormat="false" ht="75" hidden="false" customHeight="true" outlineLevel="0" collapsed="false"/>
    <row r="36" customFormat="false" ht="75" hidden="false" customHeight="true" outlineLevel="0" collapsed="false"/>
    <row r="37" customFormat="false" ht="75" hidden="false" customHeight="true" outlineLevel="0" collapsed="false"/>
    <row r="38" customFormat="false" ht="75" hidden="false" customHeight="true" outlineLevel="0" collapsed="false"/>
    <row r="39" customFormat="false" ht="75" hidden="false" customHeight="true" outlineLevel="0" collapsed="false"/>
    <row r="40" customFormat="false" ht="75" hidden="false" customHeight="true" outlineLevel="0" collapsed="false"/>
    <row r="41" customFormat="false" ht="75" hidden="false" customHeight="true" outlineLevel="0" collapsed="false"/>
    <row r="42" customFormat="false" ht="75" hidden="false" customHeight="true" outlineLevel="0" collapsed="false"/>
    <row r="43" customFormat="false" ht="75" hidden="false" customHeight="true" outlineLevel="0" collapsed="false"/>
    <row r="44" customFormat="false" ht="75" hidden="false" customHeight="true" outlineLevel="0" collapsed="false"/>
    <row r="45" customFormat="false" ht="75" hidden="false" customHeight="true" outlineLevel="0" collapsed="false"/>
    <row r="46" customFormat="false" ht="75" hidden="false" customHeight="true" outlineLevel="0" collapsed="false"/>
    <row r="47" customFormat="false" ht="75" hidden="false" customHeight="true" outlineLevel="0" collapsed="false"/>
    <row r="48" customFormat="false" ht="75" hidden="false" customHeight="true" outlineLevel="0" collapsed="false"/>
    <row r="49" customFormat="false" ht="75" hidden="false" customHeight="true" outlineLevel="0" collapsed="false"/>
    <row r="50" customFormat="false" ht="42.75" hidden="false" customHeight="true" outlineLevel="0" collapsed="false"/>
    <row r="51" customFormat="false" ht="14.25" hidden="false" customHeight="true" outlineLevel="0" collapsed="false"/>
    <row r="52" customFormat="false" ht="42.75" hidden="false" customHeight="true" outlineLevel="0" collapsed="false"/>
  </sheetData>
  <autoFilter ref="A4:M29"/>
  <conditionalFormatting sqref="J5:J29">
    <cfRule type="cellIs" priority="2" operator="equal" aboveAverage="0" equalAverage="0" bottom="0" percent="0" rank="0" text="" dxfId="11">
      <formula>"Feito"</formula>
    </cfRule>
    <cfRule type="cellIs" priority="3" operator="equal" aboveAverage="0" equalAverage="0" bottom="0" percent="0" rank="0" text="" dxfId="12">
      <formula>"Em curso"</formula>
    </cfRule>
    <cfRule type="cellIs" priority="4" operator="equal" aboveAverage="0" equalAverage="0" bottom="0" percent="0" rank="0" text="" dxfId="13">
      <formula>"Protótipo"</formula>
    </cfRule>
  </conditionalFormatting>
  <conditionalFormatting sqref="H5:H29">
    <cfRule type="cellIs" priority="5" operator="equal" aboveAverage="0" equalAverage="0" bottom="0" percent="0" rank="0" text="" dxfId="14">
      <formula>"Must"</formula>
    </cfRule>
    <cfRule type="cellIs" priority="6" operator="equal" aboveAverage="0" equalAverage="0" bottom="0" percent="0" rank="0" text="" dxfId="15">
      <formula>"Should"</formula>
    </cfRule>
    <cfRule type="cellIs" priority="7" operator="equal" aboveAverage="0" equalAverage="0" bottom="0" percent="0" rank="0" text="" dxfId="16">
      <formula>"Could"</formula>
    </cfRule>
    <cfRule type="cellIs" priority="8" operator="equal" aboveAverage="0" equalAverage="0" bottom="0" percent="0" rank="0" text="" dxfId="17">
      <formula>"Won't"</formula>
    </cfRule>
  </conditionalFormatting>
  <conditionalFormatting sqref="I5:I29">
    <cfRule type="cellIs" priority="9" operator="equal" aboveAverage="0" equalAverage="0" bottom="0" percent="0" rank="0" text="" dxfId="15">
      <formula>"Sprint 1"</formula>
    </cfRule>
    <cfRule type="cellIs" priority="10" operator="equal" aboveAverage="0" equalAverage="0" bottom="0" percent="0" rank="0" text="" dxfId="16">
      <formula>"Sprint 2"</formula>
    </cfRule>
    <cfRule type="cellIs" priority="11" operator="equal" aboveAverage="0" equalAverage="0" bottom="0" percent="0" rank="0" text="" dxfId="18">
      <formula>"Sprint 3"</formula>
    </cfRule>
    <cfRule type="cellIs" priority="12" operator="equal" aboveAverage="0" equalAverage="0" bottom="0" percent="0" rank="0" text="" dxfId="19">
      <formula>"Sprint 4"</formula>
    </cfRule>
    <cfRule type="cellIs" priority="13" operator="equal" aboveAverage="0" equalAverage="0" bottom="0" percent="0" rank="0" text="" dxfId="20">
      <formula>"Backlog"</formula>
    </cfRule>
  </conditionalFormatting>
  <dataValidations count="4">
    <dataValidation allowBlank="true" errorStyle="stop" operator="between" showDropDown="false" showErrorMessage="false" showInputMessage="false" sqref="G5:G29" type="list">
      <formula1>"1,2,3,5,8,13,21"</formula1>
      <formula2>0</formula2>
    </dataValidation>
    <dataValidation allowBlank="true" errorStyle="stop" operator="between" showDropDown="false" showErrorMessage="false" showInputMessage="false" sqref="H5:H29" type="list">
      <formula1>"Must,Should,Could,Won't"</formula1>
      <formula2>0</formula2>
    </dataValidation>
    <dataValidation allowBlank="true" errorStyle="stop" operator="between" showDropDown="false" showErrorMessage="false" showInputMessage="false" sqref="I5:I29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29" type="list">
      <formula1>"Por fazer,Protótipo,Em curso,Feito"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160</v>
      </c>
    </row>
    <row r="2" customFormat="false" ht="15" hidden="false" customHeight="true" outlineLevel="0" collapsed="false">
      <c r="A2" s="11" t="s">
        <v>161</v>
      </c>
    </row>
    <row r="3" customFormat="false" ht="15" hidden="false" customHeight="true" outlineLevel="0" collapsed="false">
      <c r="A3" s="12" t="s">
        <v>162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163</v>
      </c>
      <c r="C5" s="4" t="s">
        <v>164</v>
      </c>
      <c r="D5" s="4" t="s">
        <v>165</v>
      </c>
      <c r="E5" s="4" t="s">
        <v>166</v>
      </c>
      <c r="F5" s="4" t="s">
        <v>167</v>
      </c>
      <c r="G5" s="4" t="s">
        <v>168</v>
      </c>
      <c r="H5" s="4" t="s">
        <v>169</v>
      </c>
    </row>
    <row r="6" customFormat="false" ht="42" hidden="false" customHeight="true" outlineLevel="0" collapsed="false">
      <c r="A6" s="13" t="s">
        <v>21</v>
      </c>
      <c r="B6" s="14" t="s">
        <v>170</v>
      </c>
      <c r="C6" s="14" t="s">
        <v>171</v>
      </c>
      <c r="D6" s="5" t="n">
        <f aca="false">SUMIF('Product Backlog'!$I$5:$I$29,$A6,'Product Backlog'!$G$5:$G$29)</f>
        <v>10</v>
      </c>
      <c r="E6" s="5" t="n">
        <f aca="false">SUMIFS('Product Backlog'!$G$5:$G$29,'Product Backlog'!$I$5:$I$29,$A6,'Product Backlog'!$J$5:$J$29,"Feito")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Backlog'!$I$5:$I$29,$A6)</f>
        <v>3</v>
      </c>
    </row>
    <row r="7" customFormat="false" ht="42" hidden="false" customHeight="true" outlineLevel="0" collapsed="false">
      <c r="A7" s="17" t="s">
        <v>40</v>
      </c>
      <c r="B7" s="14" t="s">
        <v>172</v>
      </c>
      <c r="C7" s="14" t="s">
        <v>173</v>
      </c>
      <c r="D7" s="5" t="n">
        <f aca="false">SUMIF('Product Backlog'!$I$5:$I$29,$A7,'Product Backlog'!$G$5:$G$29)</f>
        <v>13</v>
      </c>
      <c r="E7" s="5" t="n">
        <f aca="false">SUMIFS('Product Backlog'!$G$5:$G$29,'Product Backlog'!$I$5:$I$29,$A7,'Product Backlog'!$J$5:$J$29,"Feito")</f>
        <v>13</v>
      </c>
      <c r="F7" s="15" t="n">
        <f aca="false">IF(D7=0,0,E7/D7)</f>
        <v>1</v>
      </c>
      <c r="G7" s="16" t="n">
        <f aca="false">$C$3-D7</f>
        <v>-3</v>
      </c>
      <c r="H7" s="5" t="n">
        <f aca="false">COUNTIF('Product Backlog'!$I$5:$I$29,$A7)</f>
        <v>3</v>
      </c>
    </row>
    <row r="8" customFormat="false" ht="42" hidden="false" customHeight="true" outlineLevel="0" collapsed="false">
      <c r="A8" s="18" t="s">
        <v>57</v>
      </c>
      <c r="B8" s="14" t="s">
        <v>174</v>
      </c>
      <c r="C8" s="14" t="s">
        <v>175</v>
      </c>
      <c r="D8" s="5" t="n">
        <f aca="false">SUMIF('Product Backlog'!$I$5:$I$29,$A8,'Product Backlog'!$G$5:$G$29)</f>
        <v>7</v>
      </c>
      <c r="E8" s="5" t="n">
        <f aca="false">SUMIFS('Product Backlog'!$G$5:$G$29,'Product Backlog'!$I$5:$I$29,$A8,'Product Backlog'!$J$5:$J$29,"Feito")</f>
        <v>7</v>
      </c>
      <c r="F8" s="15" t="n">
        <f aca="false">IF(D8=0,0,E8/D8)</f>
        <v>1</v>
      </c>
      <c r="G8" s="16" t="n">
        <f aca="false">$C$3-D8</f>
        <v>3</v>
      </c>
      <c r="H8" s="5" t="n">
        <f aca="false">COUNTIF('Product Backlog'!$I$5:$I$29,$A8)</f>
        <v>2</v>
      </c>
    </row>
    <row r="9" customFormat="false" ht="42" hidden="false" customHeight="true" outlineLevel="0" collapsed="false">
      <c r="A9" s="19" t="s">
        <v>69</v>
      </c>
      <c r="B9" s="14" t="s">
        <v>176</v>
      </c>
      <c r="C9" s="14" t="s">
        <v>177</v>
      </c>
      <c r="D9" s="5" t="n">
        <f aca="false">SUMIF('Product Backlog'!$I$5:$I$29,$A9,'Product Backlog'!$G$5:$G$29)</f>
        <v>32</v>
      </c>
      <c r="E9" s="5" t="n">
        <f aca="false">SUMIFS('Product Backlog'!$G$5:$G$29,'Product Backlog'!$I$5:$I$29,$A9,'Product Backlog'!$J$5:$J$29,"Feito")</f>
        <v>32</v>
      </c>
      <c r="F9" s="15" t="n">
        <f aca="false">IF(D9=0,0,E9/D9)</f>
        <v>1</v>
      </c>
      <c r="G9" s="16" t="n">
        <f aca="false">$C$3-D9</f>
        <v>-22</v>
      </c>
      <c r="H9" s="5" t="n">
        <f aca="false">COUNTIF('Product Backlog'!$I$5:$I$29,$A9)</f>
        <v>11</v>
      </c>
    </row>
    <row r="10" customFormat="false" ht="42" hidden="false" customHeight="true" outlineLevel="0" collapsed="false">
      <c r="A10" s="5" t="s">
        <v>129</v>
      </c>
      <c r="B10" s="14" t="s">
        <v>178</v>
      </c>
      <c r="C10" s="14" t="s">
        <v>179</v>
      </c>
      <c r="D10" s="5" t="n">
        <f aca="false">SUMIF('Product Backlog'!$I$5:$I$29,$A10,'Product Backlog'!$G$5:$G$29)</f>
        <v>17</v>
      </c>
      <c r="E10" s="5" t="n">
        <f aca="false">SUMIFS('Product Backlog'!$G$5:$G$29,'Product Backlog'!$I$5:$I$29,$A10,'Product Backlog'!$J$5:$J$29,"Feito")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Backlog'!$I$5:$I$29,$A10)</f>
        <v>6</v>
      </c>
    </row>
    <row r="11" customFormat="false" ht="15" hidden="false" customHeight="true" outlineLevel="0" collapsed="false">
      <c r="A11" s="20" t="s">
        <v>180</v>
      </c>
      <c r="B11" s="20"/>
      <c r="C11" s="20"/>
      <c r="D11" s="21" t="n">
        <f aca="false">SUM(D6:D10)</f>
        <v>79</v>
      </c>
      <c r="E11" s="21" t="n">
        <f aca="false">SUM(E6:E10)</f>
        <v>62</v>
      </c>
      <c r="F11" s="22" t="n">
        <f aca="false">IF(D11=0,0,E11/D11)</f>
        <v>0.784810126582278</v>
      </c>
      <c r="G11" s="21"/>
      <c r="H11" s="21" t="n">
        <f aca="false">SUM(H6:H10)</f>
        <v>25</v>
      </c>
    </row>
    <row r="29" customFormat="false" ht="15" hidden="false" customHeight="true" outlineLevel="0" collapsed="false">
      <c r="A29" s="23" t="s">
        <v>181</v>
      </c>
    </row>
    <row r="30" customFormat="false" ht="15" hidden="false" customHeight="true" outlineLevel="0" collapsed="false">
      <c r="A30" s="24" t="s">
        <v>182</v>
      </c>
    </row>
    <row r="31" customFormat="false" ht="15" hidden="false" customHeight="true" outlineLevel="0" collapsed="false">
      <c r="A31" s="24" t="s">
        <v>183</v>
      </c>
    </row>
    <row r="32" customFormat="false" ht="15" hidden="false" customHeight="true" outlineLevel="0" collapsed="false">
      <c r="A32" s="24" t="s">
        <v>184</v>
      </c>
    </row>
    <row r="33" customFormat="false" ht="15" hidden="false" customHeight="true" outlineLevel="0" collapsed="false">
      <c r="A33" s="24" t="s">
        <v>185</v>
      </c>
    </row>
    <row r="34" customFormat="false" ht="15" hidden="false" customHeight="true" outlineLevel="0" collapsed="false">
      <c r="A34" s="24" t="s">
        <v>186</v>
      </c>
    </row>
    <row r="35" customFormat="false" ht="15" hidden="false" customHeight="true" outlineLevel="0" collapsed="false">
      <c r="A35" s="24" t="s">
        <v>187</v>
      </c>
    </row>
    <row r="36" customFormat="false" ht="15" hidden="false" customHeight="true" outlineLevel="0" collapsed="false">
      <c r="A36" s="24" t="s">
        <v>188</v>
      </c>
    </row>
    <row r="38" customFormat="false" ht="15" hidden="false" customHeight="true" outlineLevel="0" collapsed="false">
      <c r="A38" s="23" t="s">
        <v>189</v>
      </c>
    </row>
    <row r="39" customFormat="false" ht="15" hidden="false" customHeight="true" outlineLevel="0" collapsed="false">
      <c r="A39" s="24" t="s">
        <v>190</v>
      </c>
    </row>
    <row r="40" customFormat="false" ht="15" hidden="false" customHeight="true" outlineLevel="0" collapsed="false">
      <c r="A40" s="24" t="s">
        <v>191</v>
      </c>
    </row>
    <row r="41" customFormat="false" ht="15" hidden="false" customHeight="true" outlineLevel="0" collapsed="false">
      <c r="A41" s="24" t="s">
        <v>192</v>
      </c>
    </row>
    <row r="42" customFormat="false" ht="15" hidden="false" customHeight="true" outlineLevel="0" collapsed="false">
      <c r="A42" s="24" t="s">
        <v>193</v>
      </c>
    </row>
    <row r="43" customFormat="false" ht="15" hidden="false" customHeight="true" outlineLevel="0" collapsed="false">
      <c r="A43" s="24" t="s">
        <v>194</v>
      </c>
    </row>
    <row r="44" customFormat="false" ht="15" hidden="false" customHeight="true" outlineLevel="0" collapsed="false">
      <c r="A44" s="24" t="s">
        <v>195</v>
      </c>
    </row>
    <row r="45" customFormat="false" ht="15" hidden="false" customHeight="true" outlineLevel="0" collapsed="false">
      <c r="A45" s="24" t="s">
        <v>196</v>
      </c>
    </row>
    <row r="47" customFormat="false" ht="15" hidden="false" customHeight="true" outlineLevel="0" collapsed="false">
      <c r="A47" s="23" t="s">
        <v>197</v>
      </c>
    </row>
    <row r="48" customFormat="false" ht="15" hidden="false" customHeight="true" outlineLevel="0" collapsed="false">
      <c r="A48" s="24" t="s">
        <v>198</v>
      </c>
    </row>
    <row r="49" customFormat="false" ht="15" hidden="false" customHeight="true" outlineLevel="0" collapsed="false">
      <c r="A49" s="24" t="s">
        <v>199</v>
      </c>
    </row>
    <row r="50" customFormat="false" ht="15" hidden="false" customHeight="true" outlineLevel="0" collapsed="false">
      <c r="A50" s="24" t="s">
        <v>200</v>
      </c>
    </row>
    <row r="51" customFormat="false" ht="15" hidden="false" customHeight="true" outlineLevel="0" collapsed="false">
      <c r="A51" s="24" t="s">
        <v>201</v>
      </c>
    </row>
    <row r="53" customFormat="false" ht="15" hidden="false" customHeight="true" outlineLevel="0" collapsed="false">
      <c r="A53" s="23" t="s">
        <v>202</v>
      </c>
    </row>
    <row r="54" customFormat="false" ht="15" hidden="false" customHeight="true" outlineLevel="0" collapsed="false">
      <c r="A54" s="24" t="s">
        <v>203</v>
      </c>
    </row>
    <row r="55" customFormat="false" ht="15" hidden="false" customHeight="true" outlineLevel="0" collapsed="false">
      <c r="A55" s="24" t="s">
        <v>204</v>
      </c>
    </row>
    <row r="56" customFormat="false" ht="15" hidden="false" customHeight="true" outlineLevel="0" collapsed="false">
      <c r="A56" s="24" t="s">
        <v>205</v>
      </c>
    </row>
    <row r="57" customFormat="false" ht="15" hidden="false" customHeight="true" outlineLevel="0" collapsed="false">
      <c r="A57" s="24" t="s">
        <v>206</v>
      </c>
    </row>
    <row r="58" customFormat="false" ht="15" hidden="false" customHeight="true" outlineLevel="0" collapsed="false">
      <c r="A58" s="24" t="s">
        <v>207</v>
      </c>
    </row>
    <row r="59" customFormat="false" ht="15" hidden="false" customHeight="true" outlineLevel="0" collapsed="false">
      <c r="A59" s="24" t="s">
        <v>208</v>
      </c>
    </row>
    <row r="60" customFormat="false" ht="15" hidden="false" customHeight="true" outlineLevel="0" collapsed="false">
      <c r="A60" s="23" t="s">
        <v>209</v>
      </c>
    </row>
    <row r="61" customFormat="false" ht="15" hidden="false" customHeight="true" outlineLevel="0" collapsed="false">
      <c r="A61" s="24" t="s">
        <v>210</v>
      </c>
    </row>
    <row r="62" customFormat="false" ht="15" hidden="false" customHeight="true" outlineLevel="0" collapsed="false">
      <c r="A62" s="24" t="s">
        <v>211</v>
      </c>
    </row>
    <row r="63" customFormat="false" ht="15" hidden="false" customHeight="true" outlineLevel="0" collapsed="false">
      <c r="A63" s="24" t="s">
        <v>212</v>
      </c>
    </row>
    <row r="64" customFormat="false" ht="15" hidden="false" customHeight="true" outlineLevel="0" collapsed="false">
      <c r="A64" s="24" t="s">
        <v>213</v>
      </c>
    </row>
    <row r="66" customFormat="false" ht="15" hidden="false" customHeight="true" outlineLevel="0" collapsed="false">
      <c r="A66" s="23" t="s">
        <v>214</v>
      </c>
    </row>
    <row r="67" customFormat="false" ht="15" hidden="false" customHeight="true" outlineLevel="0" collapsed="false">
      <c r="A67" s="24" t="s">
        <v>215</v>
      </c>
    </row>
    <row r="68" customFormat="false" ht="15" hidden="false" customHeight="true" outlineLevel="0" collapsed="false">
      <c r="A68" s="24" t="s">
        <v>216</v>
      </c>
    </row>
    <row r="69" customFormat="false" ht="15" hidden="false" customHeight="true" outlineLevel="0" collapsed="false">
      <c r="A69" s="24" t="s">
        <v>217</v>
      </c>
    </row>
    <row r="70" customFormat="false" ht="15" hidden="false" customHeight="true" outlineLevel="0" collapsed="false">
      <c r="A70" s="24" t="s">
        <v>218</v>
      </c>
    </row>
    <row r="71" customFormat="false" ht="15" hidden="false" customHeight="true" outlineLevel="0" collapsed="false">
      <c r="A71" s="24" t="s">
        <v>219</v>
      </c>
    </row>
    <row r="72" customFormat="false" ht="15" hidden="false" customHeight="true" outlineLevel="0" collapsed="false">
      <c r="A72" s="24" t="s">
        <v>220</v>
      </c>
    </row>
    <row r="74" customFormat="false" ht="15" hidden="false" customHeight="true" outlineLevel="0" collapsed="false">
      <c r="A74" s="23" t="s">
        <v>221</v>
      </c>
    </row>
    <row r="75" customFormat="false" ht="15" hidden="false" customHeight="true" outlineLevel="0" collapsed="false">
      <c r="A75" s="24" t="s">
        <v>222</v>
      </c>
    </row>
    <row r="76" customFormat="false" ht="15" hidden="false" customHeight="true" outlineLevel="0" collapsed="false">
      <c r="A76" s="24" t="s">
        <v>223</v>
      </c>
    </row>
    <row r="77" customFormat="false" ht="15" hidden="false" customHeight="true" outlineLevel="0" collapsed="false">
      <c r="A77" s="24" t="s">
        <v>224</v>
      </c>
    </row>
    <row r="78" customFormat="false" ht="15" hidden="false" customHeight="true" outlineLevel="0" collapsed="false">
      <c r="A78" s="24" t="s">
        <v>225</v>
      </c>
    </row>
    <row r="80" customFormat="false" ht="15" hidden="false" customHeight="true" outlineLevel="0" collapsed="false">
      <c r="A80" s="23" t="s">
        <v>226</v>
      </c>
    </row>
    <row r="81" customFormat="false" ht="15" hidden="false" customHeight="true" outlineLevel="0" collapsed="false">
      <c r="A81" s="24" t="s">
        <v>227</v>
      </c>
    </row>
    <row r="82" customFormat="false" ht="15" hidden="false" customHeight="true" outlineLevel="0" collapsed="false">
      <c r="A82" s="24" t="s">
        <v>228</v>
      </c>
    </row>
    <row r="83" customFormat="false" ht="15" hidden="false" customHeight="true" outlineLevel="0" collapsed="false">
      <c r="A83" s="24" t="s">
        <v>229</v>
      </c>
    </row>
    <row r="84" customFormat="false" ht="15" hidden="false" customHeight="true" outlineLevel="0" collapsed="false">
      <c r="A84" s="24" t="s">
        <v>230</v>
      </c>
    </row>
    <row r="85" customFormat="false" ht="15" hidden="false" customHeight="true" outlineLevel="0" collapsed="false">
      <c r="A85" s="24" t="s">
        <v>231</v>
      </c>
    </row>
    <row r="86" customFormat="false" ht="15" hidden="false" customHeight="true" outlineLevel="0" collapsed="false">
      <c r="A86" s="24" t="s">
        <v>232</v>
      </c>
    </row>
    <row r="87" customFormat="false" ht="15" hidden="false" customHeight="true" outlineLevel="0" collapsed="false">
      <c r="A87" s="24" t="s">
        <v>233</v>
      </c>
    </row>
    <row r="88" customFormat="false" ht="15" hidden="false" customHeight="true" outlineLevel="0" collapsed="false">
      <c r="A88" s="24" t="s">
        <v>234</v>
      </c>
    </row>
    <row r="89" customFormat="false" ht="15" hidden="false" customHeight="true" outlineLevel="0" collapsed="false">
      <c r="A89" s="24" t="s">
        <v>235</v>
      </c>
    </row>
    <row r="90" customFormat="false" ht="15" hidden="false" customHeight="true" outlineLevel="0" collapsed="false">
      <c r="A90" s="24" t="s">
        <v>236</v>
      </c>
    </row>
    <row r="91" customFormat="false" ht="15" hidden="false" customHeight="true" outlineLevel="0" collapsed="false">
      <c r="A91" s="24" t="s">
        <v>237</v>
      </c>
    </row>
    <row r="92" customFormat="false" ht="15" hidden="false" customHeight="true" outlineLevel="0" collapsed="false">
      <c r="A92" s="24" t="s">
        <v>238</v>
      </c>
    </row>
    <row r="93" customFormat="false" ht="15" hidden="false" customHeight="true" outlineLevel="0" collapsed="false">
      <c r="A93" s="24" t="s">
        <v>239</v>
      </c>
    </row>
    <row r="94" customFormat="false" ht="15" hidden="false" customHeight="true" outlineLevel="0" collapsed="false">
      <c r="A94" s="24" t="s">
        <v>240</v>
      </c>
    </row>
    <row r="96" customFormat="false" ht="15" hidden="false" customHeight="false" outlineLevel="0" collapsed="false">
      <c r="A96" s="23" t="s">
        <v>241</v>
      </c>
    </row>
    <row r="97" customFormat="false" ht="15" hidden="false" customHeight="false" outlineLevel="0" collapsed="false">
      <c r="A97" s="24" t="s">
        <v>242</v>
      </c>
    </row>
    <row r="98" customFormat="false" ht="15" hidden="false" customHeight="false" outlineLevel="0" collapsed="false">
      <c r="A98" s="24" t="s">
        <v>243</v>
      </c>
    </row>
    <row r="99" customFormat="false" ht="15" hidden="false" customHeight="false" outlineLevel="0" collapsed="false">
      <c r="A99" s="24" t="s">
        <v>244</v>
      </c>
    </row>
    <row r="100" customFormat="false" ht="15" hidden="false" customHeight="false" outlineLevel="0" collapsed="false">
      <c r="A100" s="24" t="s">
        <v>245</v>
      </c>
    </row>
    <row r="101" customFormat="false" ht="15" hidden="false" customHeight="false" outlineLevel="0" collapsed="false">
      <c r="A101" s="24" t="s">
        <v>246</v>
      </c>
    </row>
    <row r="102" customFormat="false" ht="15" hidden="false" customHeight="false" outlineLevel="0" collapsed="false">
      <c r="A102" s="24" t="s">
        <v>247</v>
      </c>
    </row>
    <row r="103" customFormat="false" ht="15" hidden="false" customHeight="false" outlineLevel="0" collapsed="false">
      <c r="A103" s="24" t="s">
        <v>248</v>
      </c>
    </row>
    <row r="104" customFormat="false" ht="15" hidden="false" customHeight="false" outlineLevel="0" collapsed="false">
      <c r="A104" s="24" t="s">
        <v>249</v>
      </c>
    </row>
    <row r="105" customFormat="false" ht="15" hidden="false" customHeight="false" outlineLevel="0" collapsed="false">
      <c r="A105" s="23" t="s">
        <v>250</v>
      </c>
    </row>
    <row r="106" customFormat="false" ht="15" hidden="false" customHeight="false" outlineLevel="0" collapsed="false">
      <c r="A106" s="24" t="s">
        <v>251</v>
      </c>
    </row>
    <row r="107" customFormat="false" ht="15" hidden="false" customHeight="false" outlineLevel="0" collapsed="false">
      <c r="A107" s="24" t="s">
        <v>252</v>
      </c>
    </row>
    <row r="108" customFormat="false" ht="15" hidden="false" customHeight="false" outlineLevel="0" collapsed="false">
      <c r="A108" s="24" t="s">
        <v>253</v>
      </c>
    </row>
    <row r="109" customFormat="false" ht="15" hidden="false" customHeight="false" outlineLevel="0" collapsed="false">
      <c r="A109" s="23" t="s">
        <v>254</v>
      </c>
    </row>
    <row r="110" customFormat="false" ht="15" hidden="false" customHeight="false" outlineLevel="0" collapsed="false">
      <c r="A110" s="24" t="s">
        <v>255</v>
      </c>
    </row>
    <row r="111" customFormat="false" ht="15" hidden="false" customHeight="false" outlineLevel="0" collapsed="false">
      <c r="A111" s="24" t="s">
        <v>256</v>
      </c>
    </row>
    <row r="112" customFormat="false" ht="15" hidden="false" customHeight="false" outlineLevel="0" collapsed="false">
      <c r="A112" s="24" t="s">
        <v>257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258</v>
      </c>
    </row>
    <row r="4" customFormat="false" ht="14.25" hidden="false" customHeight="true" outlineLevel="0" collapsed="false">
      <c r="A4" s="4" t="s">
        <v>259</v>
      </c>
      <c r="B4" s="4" t="s">
        <v>260</v>
      </c>
      <c r="C4" s="4" t="s">
        <v>169</v>
      </c>
      <c r="D4" s="4" t="s">
        <v>261</v>
      </c>
      <c r="E4" s="4" t="s">
        <v>262</v>
      </c>
    </row>
    <row r="5" customFormat="false" ht="14.25" hidden="false" customHeight="true" outlineLevel="0" collapsed="false">
      <c r="A5" s="25" t="s">
        <v>20</v>
      </c>
      <c r="B5" s="6" t="s">
        <v>263</v>
      </c>
      <c r="C5" s="5" t="n">
        <f aca="false">COUNTIF('Product Backlog'!$H$5:$H$29,A5)</f>
        <v>12</v>
      </c>
      <c r="D5" s="5" t="n">
        <f aca="false">SUMIF('Product Backlog'!$H$5:$H$29,A5,'Product Backlog'!$G$5:$G$29)</f>
        <v>43</v>
      </c>
      <c r="E5" s="15" t="n">
        <f aca="false">IF(SUM($D$5:$D$8)=0,0,D5/SUM($D$5:$D$8))</f>
        <v>0.544303797468354</v>
      </c>
    </row>
    <row r="6" customFormat="false" ht="14.25" hidden="false" customHeight="true" outlineLevel="0" collapsed="false">
      <c r="A6" s="13" t="s">
        <v>92</v>
      </c>
      <c r="B6" s="6" t="s">
        <v>264</v>
      </c>
      <c r="C6" s="5" t="n">
        <f aca="false">COUNTIF('Product Backlog'!$H$5:$H$29,A6)</f>
        <v>10</v>
      </c>
      <c r="D6" s="5" t="n">
        <f aca="false">SUMIF('Product Backlog'!$H$5:$H$29,A6,'Product Backlog'!$G$5:$G$29)</f>
        <v>29</v>
      </c>
      <c r="E6" s="15" t="n">
        <f aca="false">IF(SUM($D$5:$D$8)=0,0,D6/SUM($D$5:$D$8))</f>
        <v>0.367088607594937</v>
      </c>
    </row>
    <row r="7" customFormat="false" ht="14.25" hidden="false" customHeight="true" outlineLevel="0" collapsed="false">
      <c r="A7" s="17" t="s">
        <v>118</v>
      </c>
      <c r="B7" s="6" t="s">
        <v>265</v>
      </c>
      <c r="C7" s="5" t="n">
        <f aca="false">COUNTIF('Product Backlog'!$H$5:$H$29,A7)</f>
        <v>3</v>
      </c>
      <c r="D7" s="5" t="n">
        <f aca="false">SUMIF('Product Backlog'!$H$5:$H$29,A7,'Product Backlog'!$G$5:$G$29)</f>
        <v>7</v>
      </c>
      <c r="E7" s="15" t="n">
        <f aca="false">IF(SUM($D$5:$D$8)=0,0,D7/SUM($D$5:$D$8))</f>
        <v>0.0886075949367089</v>
      </c>
    </row>
    <row r="8" customFormat="false" ht="14.25" hidden="false" customHeight="true" outlineLevel="0" collapsed="false">
      <c r="A8" s="26" t="s">
        <v>266</v>
      </c>
      <c r="B8" s="6" t="s">
        <v>267</v>
      </c>
      <c r="C8" s="5" t="n">
        <f aca="false">COUNTIF('Product Backlog'!$H$5:$H$29,A8)</f>
        <v>0</v>
      </c>
      <c r="D8" s="5" t="n">
        <f aca="false">SUMIF('Product Backlog'!$H$5:$H$29,A8,'Product Backlog'!$G$5:$G$29)</f>
        <v>0</v>
      </c>
      <c r="E8" s="15" t="n">
        <f aca="false">IF(SUM($D$5:$D$8)=0,0,D8/SUM($D$5:$D$8))</f>
        <v>0</v>
      </c>
    </row>
    <row r="9" customFormat="false" ht="14.25" hidden="false" customHeight="true" outlineLevel="0" collapsed="false">
      <c r="A9" s="9" t="s">
        <v>180</v>
      </c>
      <c r="C9" s="27" t="n">
        <f aca="false">SUM(C5:C8)</f>
        <v>25</v>
      </c>
      <c r="D9" s="27" t="n">
        <f aca="false">SUM(D5:D8)</f>
        <v>79</v>
      </c>
    </row>
    <row r="11" customFormat="false" ht="102.2" hidden="false" customHeight="false" outlineLevel="0" collapsed="false">
      <c r="A11" s="28" t="s">
        <v>268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46"/>
    <col collapsed="false" customWidth="true" hidden="false" outlineLevel="0" max="5" min="5" style="0" width="50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44"/>
  </cols>
  <sheetData>
    <row r="1" customFormat="false" ht="17.35" hidden="false" customHeight="false" outlineLevel="0" collapsed="false">
      <c r="A1" s="2" t="s">
        <v>269</v>
      </c>
    </row>
    <row r="2" customFormat="false" ht="91.5" hidden="false" customHeight="true" outlineLevel="0" collapsed="false">
      <c r="A2" s="29" t="s">
        <v>270</v>
      </c>
      <c r="B2" s="29"/>
      <c r="C2" s="29"/>
      <c r="D2" s="29"/>
      <c r="E2" s="29"/>
      <c r="F2" s="29"/>
      <c r="G2" s="29"/>
      <c r="H2" s="29"/>
    </row>
    <row r="4" customFormat="false" ht="35.05" hidden="false" customHeight="false" outlineLevel="0" collapsed="false">
      <c r="A4" s="4" t="s">
        <v>3</v>
      </c>
      <c r="B4" s="4" t="s">
        <v>271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14</v>
      </c>
      <c r="H4" s="4" t="s">
        <v>272</v>
      </c>
    </row>
    <row r="5" customFormat="false" ht="75" hidden="false" customHeight="true" outlineLevel="0" collapsed="false">
      <c r="A5" s="6" t="s">
        <v>273</v>
      </c>
      <c r="B5" s="6" t="s">
        <v>36</v>
      </c>
      <c r="C5" s="6" t="s">
        <v>274</v>
      </c>
      <c r="D5" s="6" t="s">
        <v>275</v>
      </c>
      <c r="E5" s="6" t="s">
        <v>276</v>
      </c>
      <c r="F5" s="6" t="n">
        <v>5</v>
      </c>
      <c r="G5" s="6" t="s">
        <v>52</v>
      </c>
      <c r="H5" s="6" t="s">
        <v>277</v>
      </c>
    </row>
    <row r="6" customFormat="false" ht="75" hidden="false" customHeight="true" outlineLevel="0" collapsed="false">
      <c r="A6" s="6" t="s">
        <v>278</v>
      </c>
      <c r="B6" s="6" t="s">
        <v>36</v>
      </c>
      <c r="C6" s="6" t="s">
        <v>279</v>
      </c>
      <c r="D6" s="6" t="s">
        <v>280</v>
      </c>
      <c r="E6" s="6" t="s">
        <v>281</v>
      </c>
      <c r="F6" s="6" t="n">
        <v>5</v>
      </c>
      <c r="G6" s="6" t="s">
        <v>273</v>
      </c>
      <c r="H6" s="6" t="s">
        <v>282</v>
      </c>
    </row>
    <row r="7" customFormat="false" ht="75" hidden="false" customHeight="true" outlineLevel="0" collapsed="false">
      <c r="A7" s="6" t="s">
        <v>283</v>
      </c>
      <c r="B7" s="6" t="s">
        <v>72</v>
      </c>
      <c r="C7" s="6" t="s">
        <v>284</v>
      </c>
      <c r="D7" s="6" t="s">
        <v>285</v>
      </c>
      <c r="E7" s="6" t="s">
        <v>286</v>
      </c>
      <c r="F7" s="6" t="n">
        <v>5</v>
      </c>
      <c r="G7" s="6" t="s">
        <v>283</v>
      </c>
      <c r="H7" s="6" t="s">
        <v>287</v>
      </c>
    </row>
    <row r="8" customFormat="false" ht="75" hidden="false" customHeight="true" outlineLevel="0" collapsed="false">
      <c r="A8" s="6" t="s">
        <v>288</v>
      </c>
      <c r="B8" s="6" t="s">
        <v>289</v>
      </c>
      <c r="C8" s="6" t="s">
        <v>290</v>
      </c>
      <c r="D8" s="6" t="s">
        <v>291</v>
      </c>
      <c r="E8" s="6" t="s">
        <v>292</v>
      </c>
      <c r="F8" s="6" t="n">
        <v>3</v>
      </c>
      <c r="G8" s="6" t="s">
        <v>288</v>
      </c>
      <c r="H8" s="6" t="s">
        <v>293</v>
      </c>
    </row>
    <row r="9" customFormat="false" ht="75" hidden="false" customHeight="true" outlineLevel="0" collapsed="false">
      <c r="A9" s="6" t="s">
        <v>294</v>
      </c>
      <c r="B9" s="6" t="s">
        <v>36</v>
      </c>
      <c r="C9" s="6" t="s">
        <v>295</v>
      </c>
      <c r="D9" s="6" t="s">
        <v>296</v>
      </c>
      <c r="E9" s="6" t="s">
        <v>297</v>
      </c>
      <c r="F9" s="6" t="n">
        <v>3</v>
      </c>
      <c r="G9" s="6" t="s">
        <v>278</v>
      </c>
      <c r="H9" s="6" t="s">
        <v>298</v>
      </c>
    </row>
    <row r="10" customFormat="false" ht="75" hidden="false" customHeight="true" outlineLevel="0" collapsed="false">
      <c r="A10" s="6" t="s">
        <v>65</v>
      </c>
      <c r="B10" s="6" t="s">
        <v>299</v>
      </c>
      <c r="C10" s="6" t="s">
        <v>300</v>
      </c>
      <c r="D10" s="6" t="s">
        <v>301</v>
      </c>
      <c r="E10" s="6" t="s">
        <v>302</v>
      </c>
      <c r="F10" s="6" t="n">
        <v>5</v>
      </c>
      <c r="G10" s="6" t="s">
        <v>303</v>
      </c>
      <c r="H10" s="6" t="s">
        <v>304</v>
      </c>
    </row>
    <row r="11" customFormat="false" ht="75" hidden="false" customHeight="true" outlineLevel="0" collapsed="false">
      <c r="A11" s="6" t="s">
        <v>305</v>
      </c>
      <c r="B11" s="6" t="s">
        <v>289</v>
      </c>
      <c r="C11" s="6" t="s">
        <v>306</v>
      </c>
      <c r="D11" s="6" t="s">
        <v>307</v>
      </c>
      <c r="E11" s="6" t="s">
        <v>308</v>
      </c>
      <c r="F11" s="6" t="n">
        <v>8</v>
      </c>
      <c r="G11" s="6" t="s">
        <v>305</v>
      </c>
      <c r="H11" s="6" t="s">
        <v>309</v>
      </c>
    </row>
    <row r="12" customFormat="false" ht="75" hidden="false" customHeight="true" outlineLevel="0" collapsed="false">
      <c r="A12" s="6" t="s">
        <v>310</v>
      </c>
      <c r="B12" s="6" t="s">
        <v>311</v>
      </c>
      <c r="C12" s="6" t="s">
        <v>312</v>
      </c>
      <c r="D12" s="6" t="s">
        <v>313</v>
      </c>
      <c r="E12" s="6" t="s">
        <v>314</v>
      </c>
      <c r="F12" s="6" t="n">
        <v>2</v>
      </c>
      <c r="G12" s="6" t="s">
        <v>315</v>
      </c>
      <c r="H12" s="6" t="s">
        <v>316</v>
      </c>
    </row>
    <row r="13" customFormat="false" ht="75" hidden="false" customHeight="true" outlineLevel="0" collapsed="false">
      <c r="A13" s="6" t="s">
        <v>317</v>
      </c>
      <c r="B13" s="6" t="s">
        <v>318</v>
      </c>
      <c r="C13" s="6" t="s">
        <v>319</v>
      </c>
      <c r="D13" s="6" t="s">
        <v>320</v>
      </c>
      <c r="E13" s="6" t="s">
        <v>321</v>
      </c>
      <c r="F13" s="6" t="n">
        <v>5</v>
      </c>
      <c r="G13" s="6" t="s">
        <v>310</v>
      </c>
      <c r="H13" s="6" t="s">
        <v>322</v>
      </c>
    </row>
    <row r="14" customFormat="false" ht="75" hidden="false" customHeight="true" outlineLevel="0" collapsed="false">
      <c r="A14" s="6" t="s">
        <v>315</v>
      </c>
      <c r="B14" s="6" t="s">
        <v>299</v>
      </c>
      <c r="C14" s="6" t="s">
        <v>323</v>
      </c>
      <c r="D14" s="6" t="s">
        <v>324</v>
      </c>
      <c r="E14" s="6" t="s">
        <v>325</v>
      </c>
      <c r="F14" s="6" t="n">
        <v>5</v>
      </c>
      <c r="G14" s="6" t="s">
        <v>326</v>
      </c>
      <c r="H14" s="6" t="s">
        <v>327</v>
      </c>
    </row>
    <row r="15" customFormat="false" ht="75" hidden="false" customHeight="true" outlineLevel="0" collapsed="false">
      <c r="A15" s="6" t="s">
        <v>328</v>
      </c>
      <c r="B15" s="6" t="s">
        <v>329</v>
      </c>
      <c r="C15" s="6" t="s">
        <v>330</v>
      </c>
      <c r="D15" s="6" t="s">
        <v>331</v>
      </c>
      <c r="E15" s="6" t="s">
        <v>332</v>
      </c>
      <c r="F15" s="6" t="n">
        <v>3</v>
      </c>
      <c r="G15" s="6" t="s">
        <v>333</v>
      </c>
      <c r="H15" s="6" t="s">
        <v>334</v>
      </c>
    </row>
    <row r="16" customFormat="false" ht="75" hidden="false" customHeight="true" outlineLevel="0" collapsed="false">
      <c r="A16" s="6" t="s">
        <v>335</v>
      </c>
      <c r="B16" s="6" t="s">
        <v>36</v>
      </c>
      <c r="C16" s="6" t="s">
        <v>336</v>
      </c>
      <c r="D16" s="6" t="s">
        <v>337</v>
      </c>
      <c r="E16" s="6" t="s">
        <v>338</v>
      </c>
      <c r="F16" s="6" t="n">
        <v>3</v>
      </c>
      <c r="G16" s="6" t="s">
        <v>294</v>
      </c>
      <c r="H16" s="6" t="s">
        <v>334</v>
      </c>
    </row>
    <row r="17" customFormat="false" ht="75" hidden="false" customHeight="true" outlineLevel="0" collapsed="false">
      <c r="A17" s="6" t="s">
        <v>339</v>
      </c>
      <c r="B17" s="6" t="s">
        <v>329</v>
      </c>
      <c r="C17" s="6" t="s">
        <v>340</v>
      </c>
      <c r="D17" s="6" t="s">
        <v>341</v>
      </c>
      <c r="E17" s="6" t="s">
        <v>342</v>
      </c>
      <c r="F17" s="6" t="n">
        <v>3</v>
      </c>
      <c r="G17" s="6" t="s">
        <v>343</v>
      </c>
      <c r="H17" s="6" t="s">
        <v>344</v>
      </c>
    </row>
    <row r="18" customFormat="false" ht="75" hidden="false" customHeight="true" outlineLevel="0" collapsed="false">
      <c r="A18" s="6" t="s">
        <v>303</v>
      </c>
      <c r="B18" s="6" t="s">
        <v>311</v>
      </c>
      <c r="C18" s="6" t="s">
        <v>345</v>
      </c>
      <c r="D18" s="6" t="s">
        <v>346</v>
      </c>
      <c r="E18" s="6" t="s">
        <v>347</v>
      </c>
      <c r="F18" s="6" t="n">
        <v>2</v>
      </c>
      <c r="G18" s="6" t="s">
        <v>328</v>
      </c>
      <c r="H18" s="6" t="s">
        <v>348</v>
      </c>
    </row>
    <row r="19" customFormat="false" ht="75" hidden="false" customHeight="true" outlineLevel="0" collapsed="false">
      <c r="A19" s="6" t="s">
        <v>326</v>
      </c>
      <c r="B19" s="6" t="s">
        <v>311</v>
      </c>
      <c r="C19" s="6" t="s">
        <v>349</v>
      </c>
      <c r="D19" s="6" t="s">
        <v>350</v>
      </c>
      <c r="E19" s="6" t="s">
        <v>351</v>
      </c>
      <c r="F19" s="6" t="n">
        <v>5</v>
      </c>
      <c r="G19" s="6" t="s">
        <v>317</v>
      </c>
      <c r="H19" s="6" t="s">
        <v>352</v>
      </c>
    </row>
    <row r="20" customFormat="false" ht="75" hidden="false" customHeight="true" outlineLevel="0" collapsed="false">
      <c r="A20" s="6" t="s">
        <v>353</v>
      </c>
      <c r="B20" s="6" t="s">
        <v>354</v>
      </c>
      <c r="C20" s="6" t="s">
        <v>355</v>
      </c>
      <c r="D20" s="6" t="s">
        <v>356</v>
      </c>
      <c r="E20" s="6" t="s">
        <v>357</v>
      </c>
      <c r="F20" s="6" t="n">
        <v>3</v>
      </c>
      <c r="G20" s="6" t="s">
        <v>358</v>
      </c>
      <c r="H20" s="6" t="s">
        <v>359</v>
      </c>
    </row>
    <row r="21" customFormat="false" ht="75" hidden="false" customHeight="true" outlineLevel="0" collapsed="false">
      <c r="A21" s="6" t="s">
        <v>358</v>
      </c>
      <c r="B21" s="6" t="s">
        <v>311</v>
      </c>
      <c r="C21" s="6" t="s">
        <v>360</v>
      </c>
      <c r="D21" s="6" t="s">
        <v>361</v>
      </c>
      <c r="E21" s="6" t="s">
        <v>362</v>
      </c>
      <c r="F21" s="6" t="n">
        <v>3</v>
      </c>
      <c r="G21" s="6" t="s">
        <v>60</v>
      </c>
      <c r="H21" s="6" t="s">
        <v>363</v>
      </c>
    </row>
    <row r="22" customFormat="false" ht="75" hidden="false" customHeight="true" outlineLevel="0" collapsed="false">
      <c r="A22" s="6" t="s">
        <v>333</v>
      </c>
      <c r="B22" s="6" t="s">
        <v>318</v>
      </c>
      <c r="C22" s="6" t="s">
        <v>364</v>
      </c>
      <c r="D22" s="6" t="s">
        <v>365</v>
      </c>
      <c r="E22" s="6" t="s">
        <v>366</v>
      </c>
      <c r="F22" s="6" t="n">
        <v>3</v>
      </c>
      <c r="G22" s="6" t="s">
        <v>339</v>
      </c>
      <c r="H22" s="6" t="s">
        <v>367</v>
      </c>
    </row>
    <row r="23" customFormat="false" ht="75" hidden="false" customHeight="true" outlineLevel="0" collapsed="false">
      <c r="A23" s="6" t="s">
        <v>343</v>
      </c>
      <c r="B23" s="6" t="s">
        <v>329</v>
      </c>
      <c r="C23" s="6" t="s">
        <v>368</v>
      </c>
      <c r="D23" s="6" t="s">
        <v>369</v>
      </c>
      <c r="E23" s="6" t="s">
        <v>370</v>
      </c>
      <c r="F23" s="6" t="n">
        <v>3</v>
      </c>
      <c r="G23" s="6" t="s">
        <v>371</v>
      </c>
      <c r="H23" s="6" t="s">
        <v>372</v>
      </c>
    </row>
    <row r="24" customFormat="false" ht="75" hidden="false" customHeight="true" outlineLevel="0" collapsed="false">
      <c r="A24" s="6" t="s">
        <v>371</v>
      </c>
      <c r="B24" s="6" t="s">
        <v>354</v>
      </c>
      <c r="C24" s="6" t="s">
        <v>373</v>
      </c>
      <c r="D24" s="6" t="s">
        <v>374</v>
      </c>
      <c r="E24" s="6" t="s">
        <v>375</v>
      </c>
      <c r="F24" s="6" t="n">
        <v>5</v>
      </c>
      <c r="G24" s="6" t="s">
        <v>376</v>
      </c>
      <c r="H24" s="6" t="s">
        <v>377</v>
      </c>
    </row>
    <row r="25" customFormat="false" ht="75" hidden="false" customHeight="true" outlineLevel="0" collapsed="false">
      <c r="A25" s="6" t="s">
        <v>376</v>
      </c>
      <c r="B25" s="6" t="s">
        <v>311</v>
      </c>
      <c r="C25" s="6" t="s">
        <v>378</v>
      </c>
      <c r="D25" s="6" t="s">
        <v>379</v>
      </c>
      <c r="E25" s="6" t="s">
        <v>380</v>
      </c>
      <c r="F25" s="6" t="n">
        <v>8</v>
      </c>
      <c r="G25" s="6" t="s">
        <v>335</v>
      </c>
      <c r="H25" s="6" t="s">
        <v>381</v>
      </c>
    </row>
    <row r="26" customFormat="false" ht="75" hidden="false" customHeight="true" outlineLevel="0" collapsed="false">
      <c r="A26" s="6" t="s">
        <v>382</v>
      </c>
      <c r="B26" s="6" t="s">
        <v>329</v>
      </c>
      <c r="C26" s="6" t="s">
        <v>383</v>
      </c>
      <c r="D26" s="6" t="s">
        <v>384</v>
      </c>
      <c r="E26" s="6" t="s">
        <v>385</v>
      </c>
      <c r="F26" s="6" t="n">
        <v>3</v>
      </c>
      <c r="G26" s="6" t="s">
        <v>382</v>
      </c>
      <c r="H26" s="6" t="s">
        <v>386</v>
      </c>
    </row>
    <row r="27" customFormat="false" ht="75" hidden="false" customHeight="true" outlineLevel="0" collapsed="false">
      <c r="A27" s="6" t="s">
        <v>387</v>
      </c>
      <c r="B27" s="6" t="s">
        <v>388</v>
      </c>
      <c r="C27" s="6" t="s">
        <v>389</v>
      </c>
      <c r="D27" s="6" t="s">
        <v>390</v>
      </c>
      <c r="E27" s="6" t="s">
        <v>391</v>
      </c>
      <c r="F27" s="6"/>
      <c r="G27" s="6" t="s">
        <v>77</v>
      </c>
      <c r="H27" s="6" t="s">
        <v>392</v>
      </c>
    </row>
    <row r="28" customFormat="false" ht="15" hidden="false" customHeight="false" outlineLevel="0" collapsed="false">
      <c r="E28" s="9" t="s">
        <v>393</v>
      </c>
      <c r="F28" s="9" t="n">
        <f aca="false">SUM(F5:F27)</f>
        <v>90</v>
      </c>
    </row>
  </sheetData>
  <autoFilter ref="A4:H27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2026-10-27T09:48:31Z</dcterms:modified>
  <cp:revision>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