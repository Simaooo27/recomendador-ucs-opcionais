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<sst xmlns="http://schemas.openxmlformats.org/spreadsheetml/2006/main" count="403" uniqueCount="252">
  <si>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</si>
  <si>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</si>
  <si>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</si>
  <si>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</si>
  <si>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</si>
  <si>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</si>
  <si>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</si>
  <si>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</si>
  <si>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</si>
  <si>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</si>
  <si>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</si>
  <si>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</si>
  <si>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</si>
  <si>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</si>
  <si>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</si>
  <si>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</si>
  <si>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</si>
  <si>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</si>
  <si>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</si>
  <si>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</si>
  <si>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</si>
  <si>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</si>
  <si>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</si>
  <si>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</si>
  <si>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</si>
  <si>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</si>
  <si>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</si>
  <si>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</si>
  <si>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</si>
  <si>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</si>
  <si>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</si>
  <si>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</si>
  <si>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</si>
  <si>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</si>
  <si>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</si>
  <si>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</si>
  <si>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</si>
  <si>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</si>
  <si>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</si>
  <si>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</si>
  <si>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</si>
  <si>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Em curso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</si>
  <si>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</si>
  <si>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</si>
  <si>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</si>
  <si>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</si>
  <si>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</si>
  <si>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</si>
  <si>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</si>
  <si>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</si>
  <si>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</si>
  <si>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</si>
  <si>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Sprint 3</t>
  </si>
  <si>
    <t xml:space="preserve">Por fazer</t>
  </si>
  <si>
    <t xml:space="preserve">Replaneamento de 13/10: story nova (nova visão do produto, sugestão do docente). 14/10: mantém-se no Sprint 3; a escolha parte das sugestões da US30.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</si>
  <si>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</si>
  <si>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</si>
  <si>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</si>
  <si>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</si>
  <si>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</si>
  <si>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 20/10: estado volta a «Por fazer» (não fica trabalho em curso num sprint que ainda não começou); a pesquisa de 14/10 e a página /cursos/ (US30) contam como parte já entregue.</t>
  </si>
  <si>
    <t xml:space="preserve">US04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</si>
  <si>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</si>
  <si>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</si>
  <si>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</si>
  <si>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</si>
  <si>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</si>
  <si>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Sprint 4</t>
  </si>
  <si>
    <t xml:space="preserve">Replaneamento de 07/10: passou de Sprint 1 para Sprint 2. Replaneamento de 13/10: Sprint 2 → Sprint 4; inclui a importação das UCs; 3 → 5 SP. 14/10: mantém-se no Sprint 4.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</si>
  <si>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</si>
  <si>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</si>
  <si>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</si>
  <si>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</si>
  <si>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</si>
  <si>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</si>
  <si>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</si>
  <si>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</si>
  <si>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Should</t>
  </si>
  <si>
    <t xml:space="preserve">Backlog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</si>
  <si>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</si>
  <si>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</si>
  <si>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</si>
  <si>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</si>
  <si>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</si>
  <si>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</si>
  <si>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</si>
  <si>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</si>
  <si>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</si>
  <si>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</si>
  <si>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</si>
  <si>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</si>
  <si>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</si>
  <si>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</si>
  <si>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</si>
  <si>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</si>
  <si>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</si>
  <si>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</si>
  <si>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</si>
  <si>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</si>
  <si>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</si>
  <si>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</si>
  <si>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</si>
  <si>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</si>
  <si>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</si>
  <si>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</si>
  <si>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</si>
  <si>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</si>
  <si>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</si>
  <si>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</si>
  <si>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</si>
  <si>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</si>
  <si>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</si>
  <si>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</si>
  <si>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</si>
  <si>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</si>
  <si>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</si>
  <si>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</si>
  <si>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</si>
  <si>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</si>
  <si>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</si>
  <si>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</si>
  <si>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</si>
  <si>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</si>
  <si>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</si>
  <si>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</si>
  <si>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</si>
  <si>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</si>
  <si>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</si>
  <si>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</si>
  <si>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</si>
  <si>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</si>
  <si>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</si>
  <si>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</si>
  <si>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</si>
  <si>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</si>
  <si>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</si>
  <si>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Replaneamento de 13/10: Sprint 4 → Backlog (nova visão: orientação de curso primeiro).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</si>
  <si>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</si>
  <si>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</si>
  <si>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</si>
  <si>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</si>
  <si>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</si>
  <si>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</si>
  <si>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</si>
  <si>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</si>
  <si>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</si>
  <si>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</si>
  <si>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</si>
  <si>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</si>
  <si>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</si>
  <si>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</si>
  <si>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</si>
  <si>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</si>
  <si>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</si>
  <si>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</si>
  <si>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</si>
  <si>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</si>
  <si>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</si>
  <si>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</si>
  <si>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</si>
  <si>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</si>
  <si>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</si>
  <si>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</si>
  <si>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</si>
  <si>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</si>
  <si>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</si>
  <si>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</si>
  <si>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</si>
  <si>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</si>
  <si>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</si>
  <si>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</si>
  <si>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</si>
  <si>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</si>
  <si>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</si>
  <si>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</si>
  <si>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</si>
  <si>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</si>
  <si>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</si>
  <si>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</si>
  <si>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</si>
  <si>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</si>
  <si>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</si>
  <si>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</si>
  <si>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</si>
  <si>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</si>
  <si>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</si>
  <si>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</si>
  <si>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</si>
  <si>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</si>
  <si>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</si>
  <si>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nova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</si>
  <si>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</si>
  <si>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</si>
  <si>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</si>
  <si>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</si>
  <si>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</si>
  <si>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</si>
  <si>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</si>
  <si>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</si>
  <si>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</si>
  <si>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</si>
  <si>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</si>
  <si>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</si>
  <si>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</si>
  <si>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</si>
  <si>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</si>
  <si>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que lhe faz perguntas e lhe sugere 2 a 3 cursos do catálogo com explicação.</t>
  </si>
  <si>
    <t xml:space="preserve">US29, US30</t>
  </si>
  <si>
    <t xml:space="preserve">O utilizador escolhe um curso sugerido (fica registado no percurso) e consulta e compara cursos de várias instituições.</t>
  </si>
  <si>
    <t xml:space="preserve">US31, US05</t>
  </si>
  <si>
    <t xml:space="preserve">Quem já é aluno regista as UCs que concluiu e avalia as opcionais que fez, com as avaliações pseudonimizadas desde o início.</t>
  </si>
  <si>
    <t xml:space="preserve">US06, US07</t>
  </si>
  <si>
    <t xml:space="preserve">Fora do plano desta release; entra se houver folga.</t>
  </si>
  <si>
    <t xml:space="preserve">US04, US09, US11, US08, US10, US12–US28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</si>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</sst>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40819930"/>
        <c:axId val="97489759"/>
      </c:barChart>
      <c:catAx>
        <c:axId val="4081993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89759"/>
        <c:crosses val="autoZero"/>
        <c:auto val="1"/>
        <c:lblAlgn val="ctr"/>
        <c:lblOffset val="100"/>
        <c:noMultiLvlLbl val="0"/>
      </c:catAx>
      <c:valAx>
        <c:axId val="9748975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8199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2091600</xdr:colOff>
      <xdr:row>24</xdr:row>
      <xdr:rowOff>88560</xdr:rowOff>
    </xdr:to>
    <xdr:graphicFrame>
      <xdr:nvGraphicFramePr>
        <xdr:cNvPr id="0" name="Chart 1"/>
        <xdr:cNvGraphicFramePr/>
      </xdr:nvGraphicFramePr>
      <xdr:xfrm>
        <a:off x="775440" y="3992040"/>
        <a:ext cx="5756760" cy="251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139.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41</v>
      </c>
      <c r="K8" s="8"/>
      <c r="L8" s="8" t="s">
        <v>42</v>
      </c>
      <c r="M8" s="5" t="s">
        <v>34</v>
      </c>
    </row>
    <row r="9" customFormat="false" ht="139.5" hidden="false" customHeight="true" outlineLevel="0" collapsed="false">
      <c r="A9" s="5" t="n">
        <v>5</v>
      </c>
      <c r="B9" s="5" t="s">
        <v>43</v>
      </c>
      <c r="C9" s="5" t="s">
        <v>36</v>
      </c>
      <c r="D9" s="6" t="s">
        <v>44</v>
      </c>
      <c r="E9" s="6" t="s">
        <v>45</v>
      </c>
      <c r="F9" s="6" t="s">
        <v>46</v>
      </c>
      <c r="G9" s="7" t="n">
        <v>3</v>
      </c>
      <c r="H9" s="5" t="s">
        <v>20</v>
      </c>
      <c r="I9" s="7" t="s">
        <v>40</v>
      </c>
      <c r="J9" s="7" t="s">
        <v>41</v>
      </c>
      <c r="K9" s="8"/>
      <c r="L9" s="8" t="s">
        <v>47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48</v>
      </c>
      <c r="C10" s="5" t="s">
        <v>36</v>
      </c>
      <c r="D10" s="6" t="s">
        <v>49</v>
      </c>
      <c r="E10" s="6" t="s">
        <v>50</v>
      </c>
      <c r="F10" s="6" t="s">
        <v>51</v>
      </c>
      <c r="G10" s="7" t="n">
        <v>5</v>
      </c>
      <c r="H10" s="5" t="s">
        <v>20</v>
      </c>
      <c r="I10" s="7" t="s">
        <v>52</v>
      </c>
      <c r="J10" s="7" t="s">
        <v>53</v>
      </c>
      <c r="K10" s="8"/>
      <c r="L10" s="8" t="s">
        <v>54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55</v>
      </c>
      <c r="C11" s="5" t="s">
        <v>56</v>
      </c>
      <c r="D11" s="6" t="s">
        <v>57</v>
      </c>
      <c r="E11" s="6" t="s">
        <v>58</v>
      </c>
      <c r="F11" s="6" t="s">
        <v>59</v>
      </c>
      <c r="G11" s="7" t="n">
        <v>5</v>
      </c>
      <c r="H11" s="5" t="s">
        <v>20</v>
      </c>
      <c r="I11" s="7" t="s">
        <v>52</v>
      </c>
      <c r="J11" s="7" t="s">
        <v>53</v>
      </c>
      <c r="K11" s="8"/>
      <c r="L11" s="8" t="s">
        <v>60</v>
      </c>
      <c r="M11" s="5" t="s">
        <v>61</v>
      </c>
    </row>
    <row r="12" customFormat="false" ht="75" hidden="false" customHeight="true" outlineLevel="0" collapsed="false">
      <c r="A12" s="5" t="n">
        <v>8</v>
      </c>
      <c r="B12" s="5" t="s">
        <v>62</v>
      </c>
      <c r="C12" s="5" t="s">
        <v>63</v>
      </c>
      <c r="D12" s="6" t="s">
        <v>64</v>
      </c>
      <c r="E12" s="6" t="s">
        <v>65</v>
      </c>
      <c r="F12" s="6" t="s">
        <v>66</v>
      </c>
      <c r="G12" s="7" t="n">
        <v>5</v>
      </c>
      <c r="H12" s="5" t="s">
        <v>20</v>
      </c>
      <c r="I12" s="7" t="s">
        <v>67</v>
      </c>
      <c r="J12" s="7" t="s">
        <v>53</v>
      </c>
      <c r="K12" s="8"/>
      <c r="L12" s="8" t="s">
        <v>68</v>
      </c>
      <c r="M12" s="5" t="s">
        <v>55</v>
      </c>
    </row>
    <row r="13" customFormat="false" ht="75" hidden="false" customHeight="true" outlineLevel="0" collapsed="false">
      <c r="A13" s="5" t="n">
        <v>9</v>
      </c>
      <c r="B13" s="5" t="s">
        <v>69</v>
      </c>
      <c r="C13" s="5" t="s">
        <v>63</v>
      </c>
      <c r="D13" s="6" t="s">
        <v>70</v>
      </c>
      <c r="E13" s="6" t="s">
        <v>71</v>
      </c>
      <c r="F13" s="6" t="s">
        <v>72</v>
      </c>
      <c r="G13" s="7" t="n">
        <v>5</v>
      </c>
      <c r="H13" s="5" t="s">
        <v>20</v>
      </c>
      <c r="I13" s="7" t="s">
        <v>67</v>
      </c>
      <c r="J13" s="7" t="s">
        <v>53</v>
      </c>
      <c r="K13" s="8"/>
      <c r="L13" s="8" t="s">
        <v>73</v>
      </c>
      <c r="M13" s="5" t="s">
        <v>62</v>
      </c>
    </row>
    <row r="14" customFormat="false" ht="75" hidden="false" customHeight="true" outlineLevel="0" collapsed="false">
      <c r="A14" s="5" t="n">
        <v>10</v>
      </c>
      <c r="B14" s="5" t="s">
        <v>61</v>
      </c>
      <c r="C14" s="5" t="s">
        <v>56</v>
      </c>
      <c r="D14" s="6" t="s">
        <v>74</v>
      </c>
      <c r="E14" s="6" t="s">
        <v>75</v>
      </c>
      <c r="F14" s="6" t="s">
        <v>76</v>
      </c>
      <c r="G14" s="7" t="n">
        <v>5</v>
      </c>
      <c r="H14" s="5" t="s">
        <v>77</v>
      </c>
      <c r="I14" s="7" t="s">
        <v>78</v>
      </c>
      <c r="J14" s="7" t="s">
        <v>53</v>
      </c>
      <c r="K14" s="8"/>
      <c r="L14" s="8" t="s">
        <v>79</v>
      </c>
      <c r="M14" s="5" t="s">
        <v>29</v>
      </c>
    </row>
    <row r="15" customFormat="false" ht="75" hidden="false" customHeight="true" outlineLevel="0" collapsed="false">
      <c r="A15" s="5" t="n">
        <v>11</v>
      </c>
      <c r="B15" s="5" t="s">
        <v>80</v>
      </c>
      <c r="C15" s="5" t="s">
        <v>81</v>
      </c>
      <c r="D15" s="6" t="s">
        <v>82</v>
      </c>
      <c r="E15" s="6" t="s">
        <v>83</v>
      </c>
      <c r="F15" s="6" t="s">
        <v>84</v>
      </c>
      <c r="G15" s="7" t="n">
        <v>5</v>
      </c>
      <c r="H15" s="5" t="s">
        <v>77</v>
      </c>
      <c r="I15" s="7" t="s">
        <v>78</v>
      </c>
      <c r="J15" s="7" t="s">
        <v>53</v>
      </c>
      <c r="K15" s="8"/>
      <c r="L15" s="8" t="s">
        <v>85</v>
      </c>
      <c r="M15" s="5" t="s">
        <v>80</v>
      </c>
    </row>
    <row r="16" customFormat="false" ht="75" hidden="false" customHeight="true" outlineLevel="0" collapsed="false">
      <c r="A16" s="5" t="n">
        <v>12</v>
      </c>
      <c r="B16" s="5" t="s">
        <v>86</v>
      </c>
      <c r="C16" s="5" t="s">
        <v>87</v>
      </c>
      <c r="D16" s="6" t="s">
        <v>88</v>
      </c>
      <c r="E16" s="6" t="s">
        <v>89</v>
      </c>
      <c r="F16" s="6" t="s">
        <v>90</v>
      </c>
      <c r="G16" s="7" t="n">
        <v>3</v>
      </c>
      <c r="H16" s="5" t="s">
        <v>77</v>
      </c>
      <c r="I16" s="7" t="s">
        <v>78</v>
      </c>
      <c r="J16" s="7" t="s">
        <v>53</v>
      </c>
      <c r="K16" s="8"/>
      <c r="L16" s="8" t="s">
        <v>91</v>
      </c>
      <c r="M16" s="5" t="s">
        <v>86</v>
      </c>
    </row>
    <row r="17" customFormat="false" ht="75" hidden="false" customHeight="true" outlineLevel="0" collapsed="false">
      <c r="A17" s="5" t="n">
        <v>13</v>
      </c>
      <c r="B17" s="5" t="s">
        <v>92</v>
      </c>
      <c r="C17" s="5" t="s">
        <v>63</v>
      </c>
      <c r="D17" s="6" t="s">
        <v>93</v>
      </c>
      <c r="E17" s="6" t="s">
        <v>94</v>
      </c>
      <c r="F17" s="6" t="s">
        <v>95</v>
      </c>
      <c r="G17" s="7" t="n">
        <v>3</v>
      </c>
      <c r="H17" s="5" t="s">
        <v>77</v>
      </c>
      <c r="I17" s="7" t="s">
        <v>78</v>
      </c>
      <c r="J17" s="7" t="s">
        <v>53</v>
      </c>
      <c r="K17" s="8"/>
      <c r="L17" s="8" t="s">
        <v>96</v>
      </c>
      <c r="M17" s="5" t="s">
        <v>69</v>
      </c>
    </row>
    <row r="18" customFormat="false" ht="75" hidden="false" customHeight="true" outlineLevel="0" collapsed="false">
      <c r="A18" s="5" t="n">
        <v>14</v>
      </c>
      <c r="B18" s="5" t="s">
        <v>97</v>
      </c>
      <c r="C18" s="5" t="s">
        <v>98</v>
      </c>
      <c r="D18" s="6" t="s">
        <v>99</v>
      </c>
      <c r="E18" s="6" t="s">
        <v>100</v>
      </c>
      <c r="F18" s="6" t="s">
        <v>101</v>
      </c>
      <c r="G18" s="7" t="n">
        <v>5</v>
      </c>
      <c r="H18" s="5" t="s">
        <v>77</v>
      </c>
      <c r="I18" s="7" t="s">
        <v>78</v>
      </c>
      <c r="J18" s="7" t="s">
        <v>53</v>
      </c>
      <c r="K18" s="8"/>
      <c r="L18" s="8" t="s">
        <v>102</v>
      </c>
      <c r="M18" s="5" t="s">
        <v>103</v>
      </c>
    </row>
    <row r="19" customFormat="false" ht="75" hidden="false" customHeight="true" outlineLevel="0" collapsed="false">
      <c r="A19" s="5" t="n">
        <v>15</v>
      </c>
      <c r="B19" s="5" t="s">
        <v>104</v>
      </c>
      <c r="C19" s="5" t="s">
        <v>87</v>
      </c>
      <c r="D19" s="6" t="s">
        <v>105</v>
      </c>
      <c r="E19" s="6" t="s">
        <v>106</v>
      </c>
      <c r="F19" s="6" t="s">
        <v>107</v>
      </c>
      <c r="G19" s="7" t="n">
        <v>8</v>
      </c>
      <c r="H19" s="5" t="s">
        <v>77</v>
      </c>
      <c r="I19" s="7" t="s">
        <v>78</v>
      </c>
      <c r="J19" s="7" t="s">
        <v>53</v>
      </c>
      <c r="K19" s="8"/>
      <c r="L19" s="8" t="s">
        <v>102</v>
      </c>
      <c r="M19" s="5" t="s">
        <v>104</v>
      </c>
    </row>
    <row r="20" customFormat="false" ht="75" hidden="false" customHeight="true" outlineLevel="0" collapsed="false">
      <c r="A20" s="5" t="n">
        <v>16</v>
      </c>
      <c r="B20" s="5" t="s">
        <v>108</v>
      </c>
      <c r="C20" s="5" t="s">
        <v>109</v>
      </c>
      <c r="D20" s="6" t="s">
        <v>110</v>
      </c>
      <c r="E20" s="6" t="s">
        <v>111</v>
      </c>
      <c r="F20" s="6" t="s">
        <v>112</v>
      </c>
      <c r="G20" s="7" t="n">
        <v>2</v>
      </c>
      <c r="H20" s="5" t="s">
        <v>77</v>
      </c>
      <c r="I20" s="7" t="s">
        <v>78</v>
      </c>
      <c r="J20" s="7" t="s">
        <v>53</v>
      </c>
      <c r="K20" s="8"/>
      <c r="L20" s="8" t="s">
        <v>102</v>
      </c>
      <c r="M20" s="5" t="s">
        <v>113</v>
      </c>
    </row>
    <row r="21" customFormat="false" ht="75" hidden="false" customHeight="true" outlineLevel="0" collapsed="false">
      <c r="A21" s="5" t="n">
        <v>17</v>
      </c>
      <c r="B21" s="5" t="s">
        <v>114</v>
      </c>
      <c r="C21" s="5" t="s">
        <v>115</v>
      </c>
      <c r="D21" s="6" t="s">
        <v>116</v>
      </c>
      <c r="E21" s="6" t="s">
        <v>117</v>
      </c>
      <c r="F21" s="6" t="s">
        <v>118</v>
      </c>
      <c r="G21" s="7" t="n">
        <v>5</v>
      </c>
      <c r="H21" s="5" t="s">
        <v>77</v>
      </c>
      <c r="I21" s="7" t="s">
        <v>78</v>
      </c>
      <c r="J21" s="7" t="s">
        <v>53</v>
      </c>
      <c r="K21" s="8"/>
      <c r="L21" s="8" t="s">
        <v>119</v>
      </c>
      <c r="M21" s="5" t="s">
        <v>108</v>
      </c>
    </row>
    <row r="22" customFormat="false" ht="75" hidden="false" customHeight="true" outlineLevel="0" collapsed="false">
      <c r="A22" s="5" t="n">
        <v>18</v>
      </c>
      <c r="B22" s="5" t="s">
        <v>113</v>
      </c>
      <c r="C22" s="5" t="s">
        <v>98</v>
      </c>
      <c r="D22" s="6" t="s">
        <v>120</v>
      </c>
      <c r="E22" s="6" t="s">
        <v>121</v>
      </c>
      <c r="F22" s="6" t="s">
        <v>122</v>
      </c>
      <c r="G22" s="7" t="n">
        <v>5</v>
      </c>
      <c r="H22" s="5" t="s">
        <v>77</v>
      </c>
      <c r="I22" s="7" t="s">
        <v>78</v>
      </c>
      <c r="J22" s="7" t="s">
        <v>53</v>
      </c>
      <c r="K22" s="8"/>
      <c r="L22" s="8" t="s">
        <v>123</v>
      </c>
      <c r="M22" s="5" t="s">
        <v>124</v>
      </c>
    </row>
    <row r="23" customFormat="false" ht="75" hidden="false" customHeight="true" outlineLevel="0" collapsed="false">
      <c r="A23" s="5" t="n">
        <v>19</v>
      </c>
      <c r="B23" s="5" t="s">
        <v>125</v>
      </c>
      <c r="C23" s="5" t="s">
        <v>126</v>
      </c>
      <c r="D23" s="6" t="s">
        <v>127</v>
      </c>
      <c r="E23" s="6" t="s">
        <v>128</v>
      </c>
      <c r="F23" s="6" t="s">
        <v>129</v>
      </c>
      <c r="G23" s="7" t="n">
        <v>3</v>
      </c>
      <c r="H23" s="5" t="s">
        <v>77</v>
      </c>
      <c r="I23" s="7" t="s">
        <v>78</v>
      </c>
      <c r="J23" s="7" t="s">
        <v>53</v>
      </c>
      <c r="K23" s="8"/>
      <c r="L23" s="8" t="s">
        <v>130</v>
      </c>
      <c r="M23" s="5" t="s">
        <v>131</v>
      </c>
    </row>
    <row r="24" customFormat="false" ht="75" hidden="false" customHeight="true" outlineLevel="0" collapsed="false">
      <c r="A24" s="5" t="n">
        <v>20</v>
      </c>
      <c r="B24" s="5" t="s">
        <v>132</v>
      </c>
      <c r="C24" s="5" t="s">
        <v>81</v>
      </c>
      <c r="D24" s="6" t="s">
        <v>133</v>
      </c>
      <c r="E24" s="6" t="s">
        <v>134</v>
      </c>
      <c r="F24" s="6" t="s">
        <v>135</v>
      </c>
      <c r="G24" s="7" t="n">
        <v>3</v>
      </c>
      <c r="H24" s="5" t="s">
        <v>77</v>
      </c>
      <c r="I24" s="7" t="s">
        <v>78</v>
      </c>
      <c r="J24" s="7" t="s">
        <v>53</v>
      </c>
      <c r="K24" s="8"/>
      <c r="L24" s="8" t="s">
        <v>136</v>
      </c>
      <c r="M24" s="5" t="s">
        <v>97</v>
      </c>
    </row>
    <row r="25" customFormat="false" ht="75" hidden="false" customHeight="true" outlineLevel="0" collapsed="false">
      <c r="A25" s="5" t="n">
        <v>21</v>
      </c>
      <c r="B25" s="5" t="s">
        <v>137</v>
      </c>
      <c r="C25" s="5" t="s">
        <v>63</v>
      </c>
      <c r="D25" s="6" t="s">
        <v>138</v>
      </c>
      <c r="E25" s="6" t="s">
        <v>139</v>
      </c>
      <c r="F25" s="6" t="s">
        <v>140</v>
      </c>
      <c r="G25" s="7" t="n">
        <v>3</v>
      </c>
      <c r="H25" s="5" t="s">
        <v>77</v>
      </c>
      <c r="I25" s="7" t="s">
        <v>78</v>
      </c>
      <c r="J25" s="7" t="s">
        <v>53</v>
      </c>
      <c r="K25" s="8"/>
      <c r="L25" s="8" t="s">
        <v>130</v>
      </c>
      <c r="M25" s="5" t="s">
        <v>92</v>
      </c>
    </row>
    <row r="26" customFormat="false" ht="75" hidden="false" customHeight="true" outlineLevel="0" collapsed="false">
      <c r="A26" s="5" t="n">
        <v>22</v>
      </c>
      <c r="B26" s="5" t="s">
        <v>141</v>
      </c>
      <c r="C26" s="5" t="s">
        <v>126</v>
      </c>
      <c r="D26" s="6" t="s">
        <v>142</v>
      </c>
      <c r="E26" s="6" t="s">
        <v>143</v>
      </c>
      <c r="F26" s="6" t="s">
        <v>144</v>
      </c>
      <c r="G26" s="7" t="n">
        <v>3</v>
      </c>
      <c r="H26" s="5" t="s">
        <v>77</v>
      </c>
      <c r="I26" s="7" t="s">
        <v>78</v>
      </c>
      <c r="J26" s="7" t="s">
        <v>53</v>
      </c>
      <c r="K26" s="8"/>
      <c r="L26" s="8" t="s">
        <v>136</v>
      </c>
      <c r="M26" s="5" t="s">
        <v>145</v>
      </c>
    </row>
    <row r="27" customFormat="false" ht="75" hidden="false" customHeight="true" outlineLevel="0" collapsed="false">
      <c r="A27" s="5" t="n">
        <v>23</v>
      </c>
      <c r="B27" s="5" t="s">
        <v>103</v>
      </c>
      <c r="C27" s="5" t="s">
        <v>109</v>
      </c>
      <c r="D27" s="6" t="s">
        <v>146</v>
      </c>
      <c r="E27" s="6" t="s">
        <v>147</v>
      </c>
      <c r="F27" s="6" t="s">
        <v>148</v>
      </c>
      <c r="G27" s="7" t="n">
        <v>2</v>
      </c>
      <c r="H27" s="5" t="s">
        <v>77</v>
      </c>
      <c r="I27" s="7" t="s">
        <v>78</v>
      </c>
      <c r="J27" s="7" t="s">
        <v>53</v>
      </c>
      <c r="K27" s="8"/>
      <c r="L27" s="8" t="s">
        <v>130</v>
      </c>
      <c r="M27" s="5" t="s">
        <v>125</v>
      </c>
    </row>
    <row r="28" customFormat="false" ht="75" hidden="false" customHeight="true" outlineLevel="0" collapsed="false">
      <c r="A28" s="5" t="n">
        <v>24</v>
      </c>
      <c r="B28" s="5" t="s">
        <v>124</v>
      </c>
      <c r="C28" s="5" t="s">
        <v>109</v>
      </c>
      <c r="D28" s="6" t="s">
        <v>149</v>
      </c>
      <c r="E28" s="6" t="s">
        <v>150</v>
      </c>
      <c r="F28" s="6" t="s">
        <v>151</v>
      </c>
      <c r="G28" s="7" t="n">
        <v>5</v>
      </c>
      <c r="H28" s="5" t="s">
        <v>77</v>
      </c>
      <c r="I28" s="7" t="s">
        <v>78</v>
      </c>
      <c r="J28" s="7" t="s">
        <v>53</v>
      </c>
      <c r="K28" s="8"/>
      <c r="L28" s="8" t="s">
        <v>152</v>
      </c>
      <c r="M28" s="5" t="s">
        <v>114</v>
      </c>
    </row>
    <row r="29" customFormat="false" ht="75" hidden="false" customHeight="true" outlineLevel="0" collapsed="false">
      <c r="A29" s="5" t="n">
        <v>25</v>
      </c>
      <c r="B29" s="5" t="s">
        <v>153</v>
      </c>
      <c r="C29" s="5" t="s">
        <v>154</v>
      </c>
      <c r="D29" s="6" t="s">
        <v>155</v>
      </c>
      <c r="E29" s="6" t="s">
        <v>156</v>
      </c>
      <c r="F29" s="6" t="s">
        <v>157</v>
      </c>
      <c r="G29" s="7" t="n">
        <v>3</v>
      </c>
      <c r="H29" s="5" t="s">
        <v>77</v>
      </c>
      <c r="I29" s="7" t="s">
        <v>78</v>
      </c>
      <c r="J29" s="7" t="s">
        <v>53</v>
      </c>
      <c r="K29" s="8"/>
      <c r="L29" s="8" t="s">
        <v>158</v>
      </c>
      <c r="M29" s="5" t="s">
        <v>159</v>
      </c>
    </row>
    <row r="30" customFormat="false" ht="75" hidden="false" customHeight="true" outlineLevel="0" collapsed="false">
      <c r="A30" s="5" t="n">
        <v>26</v>
      </c>
      <c r="B30" s="5" t="s">
        <v>159</v>
      </c>
      <c r="C30" s="5" t="s">
        <v>109</v>
      </c>
      <c r="D30" s="6" t="s">
        <v>160</v>
      </c>
      <c r="E30" s="6" t="s">
        <v>161</v>
      </c>
      <c r="F30" s="6" t="s">
        <v>162</v>
      </c>
      <c r="G30" s="7" t="n">
        <v>3</v>
      </c>
      <c r="H30" s="5" t="s">
        <v>163</v>
      </c>
      <c r="I30" s="7" t="s">
        <v>78</v>
      </c>
      <c r="J30" s="7" t="s">
        <v>53</v>
      </c>
      <c r="K30" s="8"/>
      <c r="L30" s="8" t="s">
        <v>164</v>
      </c>
      <c r="M30" s="5" t="s">
        <v>132</v>
      </c>
    </row>
    <row r="31" customFormat="false" ht="75" hidden="false" customHeight="true" outlineLevel="0" collapsed="false">
      <c r="A31" s="5" t="n">
        <v>27</v>
      </c>
      <c r="B31" s="5" t="s">
        <v>131</v>
      </c>
      <c r="C31" s="5" t="s">
        <v>115</v>
      </c>
      <c r="D31" s="6" t="s">
        <v>165</v>
      </c>
      <c r="E31" s="6" t="s">
        <v>166</v>
      </c>
      <c r="F31" s="6" t="s">
        <v>167</v>
      </c>
      <c r="G31" s="7" t="n">
        <v>3</v>
      </c>
      <c r="H31" s="5" t="s">
        <v>163</v>
      </c>
      <c r="I31" s="7" t="s">
        <v>78</v>
      </c>
      <c r="J31" s="7" t="s">
        <v>53</v>
      </c>
      <c r="K31" s="8"/>
      <c r="L31" s="8"/>
      <c r="M31" s="5" t="s">
        <v>141</v>
      </c>
    </row>
    <row r="32" customFormat="false" ht="75" hidden="false" customHeight="true" outlineLevel="0" collapsed="false">
      <c r="A32" s="5" t="n">
        <v>28</v>
      </c>
      <c r="B32" s="5" t="s">
        <v>145</v>
      </c>
      <c r="C32" s="5" t="s">
        <v>126</v>
      </c>
      <c r="D32" s="6" t="s">
        <v>168</v>
      </c>
      <c r="E32" s="6" t="s">
        <v>169</v>
      </c>
      <c r="F32" s="6" t="s">
        <v>170</v>
      </c>
      <c r="G32" s="7" t="n">
        <v>3</v>
      </c>
      <c r="H32" s="5" t="s">
        <v>163</v>
      </c>
      <c r="I32" s="7" t="s">
        <v>78</v>
      </c>
      <c r="J32" s="7" t="s">
        <v>53</v>
      </c>
      <c r="K32" s="8"/>
      <c r="L32" s="8"/>
      <c r="M32" s="5" t="s">
        <v>171</v>
      </c>
    </row>
    <row r="33" customFormat="false" ht="75" hidden="false" customHeight="true" outlineLevel="0" collapsed="false">
      <c r="A33" s="5" t="n">
        <v>29</v>
      </c>
      <c r="B33" s="5" t="s">
        <v>171</v>
      </c>
      <c r="C33" s="5" t="s">
        <v>154</v>
      </c>
      <c r="D33" s="6" t="s">
        <v>172</v>
      </c>
      <c r="E33" s="6" t="s">
        <v>173</v>
      </c>
      <c r="F33" s="6" t="s">
        <v>174</v>
      </c>
      <c r="G33" s="7" t="n">
        <v>5</v>
      </c>
      <c r="H33" s="5" t="s">
        <v>163</v>
      </c>
      <c r="I33" s="7" t="s">
        <v>78</v>
      </c>
      <c r="J33" s="7" t="s">
        <v>53</v>
      </c>
      <c r="K33" s="8"/>
      <c r="L33" s="8"/>
      <c r="M33" s="5" t="s">
        <v>175</v>
      </c>
    </row>
    <row r="34" customFormat="false" ht="75" hidden="false" customHeight="true" outlineLevel="0" collapsed="false">
      <c r="A34" s="5" t="n">
        <v>30</v>
      </c>
      <c r="B34" s="5" t="s">
        <v>175</v>
      </c>
      <c r="C34" s="5" t="s">
        <v>109</v>
      </c>
      <c r="D34" s="6" t="s">
        <v>176</v>
      </c>
      <c r="E34" s="6" t="s">
        <v>177</v>
      </c>
      <c r="F34" s="6" t="s">
        <v>178</v>
      </c>
      <c r="G34" s="7" t="n">
        <v>8</v>
      </c>
      <c r="H34" s="5" t="s">
        <v>163</v>
      </c>
      <c r="I34" s="7" t="s">
        <v>78</v>
      </c>
      <c r="J34" s="7" t="s">
        <v>53</v>
      </c>
      <c r="K34" s="8"/>
      <c r="L34" s="8"/>
      <c r="M34" s="5" t="s">
        <v>137</v>
      </c>
    </row>
    <row r="35" customFormat="false" ht="75" hidden="false" customHeight="true" outlineLevel="0" collapsed="false">
      <c r="A35" s="5" t="n">
        <v>31</v>
      </c>
      <c r="B35" s="5" t="s">
        <v>179</v>
      </c>
      <c r="C35" s="5" t="s">
        <v>126</v>
      </c>
      <c r="D35" s="6" t="s">
        <v>180</v>
      </c>
      <c r="E35" s="6" t="s">
        <v>181</v>
      </c>
      <c r="F35" s="6" t="s">
        <v>182</v>
      </c>
      <c r="G35" s="7" t="n">
        <v>3</v>
      </c>
      <c r="H35" s="5" t="s">
        <v>183</v>
      </c>
      <c r="I35" s="7" t="s">
        <v>78</v>
      </c>
      <c r="J35" s="7" t="s">
        <v>53</v>
      </c>
      <c r="K35" s="8"/>
      <c r="L35" s="8"/>
      <c r="M35" s="5" t="s">
        <v>179</v>
      </c>
    </row>
    <row r="36" customFormat="false" ht="60" hidden="false" customHeight="true" outlineLevel="0" collapsed="false">
      <c r="A36" s="5" t="n">
        <v>32</v>
      </c>
      <c r="B36" s="5" t="s">
        <v>184</v>
      </c>
      <c r="C36" s="5" t="s">
        <v>36</v>
      </c>
      <c r="D36" s="6" t="s">
        <v>185</v>
      </c>
      <c r="E36" s="6" t="s">
        <v>186</v>
      </c>
      <c r="F36" s="6" t="s">
        <v>187</v>
      </c>
      <c r="G36" s="7"/>
      <c r="H36" s="5"/>
      <c r="I36" s="7" t="s">
        <v>78</v>
      </c>
      <c r="J36" s="7" t="s">
        <v>188</v>
      </c>
      <c r="K36" s="8"/>
      <c r="L36" s="8" t="s">
        <v>189</v>
      </c>
      <c r="M36" s="5" t="s">
        <v>190</v>
      </c>
    </row>
    <row r="37" customFormat="false" ht="14.25" hidden="false" customHeight="true" outlineLevel="0" collapsed="false">
      <c r="F37" s="9" t="s">
        <v>191</v>
      </c>
      <c r="G37" s="9" t="n">
        <f aca="false">SUM(G5:G36)</f>
        <v>126</v>
      </c>
    </row>
    <row r="38" customFormat="false" ht="14.25" hidden="false" customHeight="true" outlineLevel="0" collapsed="false">
      <c r="F38" s="9" t="s">
        <v>192</v>
      </c>
      <c r="G38" s="9" t="n">
        <f aca="false">SUMIF(J5:J36,"Feito",G5:G36)</f>
        <v>10</v>
      </c>
    </row>
    <row r="39" customFormat="false" ht="21.75" hidden="false" customHeight="true" outlineLevel="0" collapsed="false">
      <c r="F39" s="10" t="s">
        <v>193</v>
      </c>
    </row>
  </sheetData>
  <autoFilter ref="A4:M36"/>
  <conditionalFormatting sqref="J5:J36">
    <cfRule type="cellIs" priority="2" operator="equal" aboveAverage="0" equalAverage="0" bottom="0" percent="0" rank="0" text="" dxfId="13">
      <formula>"Feito"</formula>
    </cfRule>
    <cfRule type="cellIs" priority="3" operator="equal" aboveAverage="0" equalAverage="0" bottom="0" percent="0" rank="0" text="" dxfId="14">
      <formula>"Em curso"</formula>
    </cfRule>
  </conditionalFormatting>
  <conditionalFormatting sqref="H5:H36">
    <cfRule type="cellIs" priority="4" operator="equal" aboveAverage="0" equalAverage="0" bottom="0" percent="0" rank="0" text="" dxfId="15">
      <formula>"Must"</formula>
    </cfRule>
    <cfRule type="cellIs" priority="5" operator="equal" aboveAverage="0" equalAverage="0" bottom="0" percent="0" rank="0" text="" dxfId="16">
      <formula>"Should"</formula>
    </cfRule>
    <cfRule type="cellIs" priority="6" operator="equal" aboveAverage="0" equalAverage="0" bottom="0" percent="0" rank="0" text="" dxfId="17">
      <formula>"Could"</formula>
    </cfRule>
    <cfRule type="cellIs" priority="7" operator="equal" aboveAverage="0" equalAverage="0" bottom="0" percent="0" rank="0" text="" dxfId="18">
      <formula>"Won't"</formula>
    </cfRule>
  </conditionalFormatting>
  <conditionalFormatting sqref="I5:I36">
    <cfRule type="cellIs" priority="8" operator="equal" aboveAverage="0" equalAverage="0" bottom="0" percent="0" rank="0" text="" dxfId="16">
      <formula>"Sprint 1"</formula>
    </cfRule>
    <cfRule type="cellIs" priority="9" operator="equal" aboveAverage="0" equalAverage="0" bottom="0" percent="0" rank="0" text="" dxfId="17">
      <formula>"Sprint 2"</formula>
    </cfRule>
    <cfRule type="cellIs" priority="10" operator="equal" aboveAverage="0" equalAverage="0" bottom="0" percent="0" rank="0" text="" dxfId="19">
      <formula>"Sprint 3"</formula>
    </cfRule>
    <cfRule type="cellIs" priority="11" operator="equal" aboveAverage="0" equalAverage="0" bottom="0" percent="0" rank="0" text="" dxfId="20">
      <formula>"Sprint 4"</formula>
    </cfRule>
    <cfRule type="cellIs" priority="12" operator="equal" aboveAverage="0" equalAverage="0" bottom="0" percent="0" rank="0" text="" dxfId="21">
      <formula>"Backlog"</formula>
    </cfRule>
  </conditionalFormatting>
  <dataValidations count="4">
    <dataValidation allowBlank="true" errorStyle="stop" operator="between" showDropDown="false" showErrorMessage="false" showInputMessage="false" sqref="G5:G36" type="list">
      <formula1>"1,2,3,5,8,13,21"</formula1>
      <formula2>0</formula2>
    </dataValidation>
    <dataValidation allowBlank="true" errorStyle="stop" operator="between" showDropDown="false" showErrorMessage="false" showInputMessage="false" sqref="H5:H36" type="list">
      <formula1>"Must,Should,Could,Won't"</formula1>
      <formula2>0</formula2>
    </dataValidation>
    <dataValidation allowBlank="true" errorStyle="stop" operator="between" showDropDown="false" showErrorMessage="false" showInputMessage="false" sqref="I5:I36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6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194</v>
      </c>
    </row>
    <row r="2" customFormat="false" ht="15" hidden="false" customHeight="true" outlineLevel="0" collapsed="false">
      <c r="A2" s="11" t="s">
        <v>195</v>
      </c>
    </row>
    <row r="3" customFormat="false" ht="15" hidden="false" customHeight="true" outlineLevel="0" collapsed="false">
      <c r="A3" s="12" t="s">
        <v>196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</row>
    <row r="6" customFormat="false" ht="42" hidden="false" customHeight="true" outlineLevel="0" collapsed="false">
      <c r="A6" s="13" t="s">
        <v>21</v>
      </c>
      <c r="B6" s="14" t="s">
        <v>204</v>
      </c>
      <c r="C6" s="14" t="s">
        <v>205</v>
      </c>
      <c r="D6" s="5" t="n">
        <f aca="false">SUMIF('Product Backlog'!$I$5:$I$36,$A6,'Product Backlog'!$G$5:$G$36)</f>
        <v>10</v>
      </c>
      <c r="E6" s="5" t="n">
        <f aca="false">SUMIFS('Product Backlog'!$G$5:$G$36,'Product Backlog'!$I$5:$I$36,$A6,'Product Backlog'!$J$5:$J$36,"Feito")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Backlog'!$I$5:$I$36,$A6)</f>
        <v>3</v>
      </c>
    </row>
    <row r="7" customFormat="false" ht="42" hidden="false" customHeight="true" outlineLevel="0" collapsed="false">
      <c r="A7" s="17" t="s">
        <v>40</v>
      </c>
      <c r="B7" s="14" t="s">
        <v>206</v>
      </c>
      <c r="C7" s="14" t="s">
        <v>207</v>
      </c>
      <c r="D7" s="5" t="n">
        <f aca="false">SUMIF('Product Backlog'!$I$5:$I$36,$A7,'Product Backlog'!$G$5:$G$36)</f>
        <v>8</v>
      </c>
      <c r="E7" s="5" t="n">
        <f aca="false">SUMIFS('Product Backlog'!$G$5:$G$36,'Product Backlog'!$I$5:$I$36,$A7,'Product Backlog'!$J$5:$J$36,"Feito")</f>
        <v>0</v>
      </c>
      <c r="F7" s="15" t="n">
        <f aca="false">IF(D7=0,0,E7/D7)</f>
        <v>0</v>
      </c>
      <c r="G7" s="16" t="n">
        <f aca="false">$C$3-D7</f>
        <v>2</v>
      </c>
      <c r="H7" s="5" t="n">
        <f aca="false">COUNTIF('Product Backlog'!$I$5:$I$36,$A7)</f>
        <v>2</v>
      </c>
    </row>
    <row r="8" customFormat="false" ht="42" hidden="false" customHeight="true" outlineLevel="0" collapsed="false">
      <c r="A8" s="18" t="s">
        <v>52</v>
      </c>
      <c r="B8" s="14" t="s">
        <v>208</v>
      </c>
      <c r="C8" s="14" t="s">
        <v>209</v>
      </c>
      <c r="D8" s="5" t="n">
        <f aca="false">SUMIF('Product Backlog'!$I$5:$I$36,$A8,'Product Backlog'!$G$5:$G$36)</f>
        <v>10</v>
      </c>
      <c r="E8" s="5" t="n">
        <f aca="false">SUMIFS('Product Backlog'!$G$5:$G$36,'Product Backlog'!$I$5:$I$36,$A8,'Product Backlog'!$J$5:$J$36,"Feito")</f>
        <v>0</v>
      </c>
      <c r="F8" s="15" t="n">
        <f aca="false">IF(D8=0,0,E8/D8)</f>
        <v>0</v>
      </c>
      <c r="G8" s="16" t="n">
        <f aca="false">$C$3-D8</f>
        <v>0</v>
      </c>
      <c r="H8" s="5" t="n">
        <f aca="false">COUNTIF('Product Backlog'!$I$5:$I$36,$A8)</f>
        <v>2</v>
      </c>
    </row>
    <row r="9" customFormat="false" ht="42" hidden="false" customHeight="true" outlineLevel="0" collapsed="false">
      <c r="A9" s="19" t="s">
        <v>67</v>
      </c>
      <c r="B9" s="14" t="s">
        <v>210</v>
      </c>
      <c r="C9" s="14" t="s">
        <v>211</v>
      </c>
      <c r="D9" s="5" t="n">
        <f aca="false">SUMIF('Product Backlog'!$I$5:$I$36,$A9,'Product Backlog'!$G$5:$G$36)</f>
        <v>10</v>
      </c>
      <c r="E9" s="5" t="n">
        <f aca="false">SUMIFS('Product Backlog'!$G$5:$G$36,'Product Backlog'!$I$5:$I$36,$A9,'Product Backlog'!$J$5:$J$36,"Feito")</f>
        <v>0</v>
      </c>
      <c r="F9" s="15" t="n">
        <f aca="false">IF(D9=0,0,E9/D9)</f>
        <v>0</v>
      </c>
      <c r="G9" s="16" t="n">
        <f aca="false">$C$3-D9</f>
        <v>0</v>
      </c>
      <c r="H9" s="5" t="n">
        <f aca="false">COUNTIF('Product Backlog'!$I$5:$I$36,$A9)</f>
        <v>2</v>
      </c>
    </row>
    <row r="10" customFormat="false" ht="42" hidden="false" customHeight="true" outlineLevel="0" collapsed="false">
      <c r="A10" s="5" t="s">
        <v>78</v>
      </c>
      <c r="B10" s="14" t="s">
        <v>212</v>
      </c>
      <c r="C10" s="14" t="s">
        <v>213</v>
      </c>
      <c r="D10" s="5" t="n">
        <f aca="false">SUMIF('Product Backlog'!$I$5:$I$36,$A10,'Product Backlog'!$G$5:$G$36)</f>
        <v>88</v>
      </c>
      <c r="E10" s="5" t="n">
        <f aca="false">SUMIFS('Product Backlog'!$G$5:$G$36,'Product Backlog'!$I$5:$I$36,$A10,'Product Backlog'!$J$5:$J$36,"Feito")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Backlog'!$I$5:$I$36,$A10)</f>
        <v>23</v>
      </c>
    </row>
    <row r="11" customFormat="false" ht="15" hidden="false" customHeight="true" outlineLevel="0" collapsed="false">
      <c r="A11" s="20" t="s">
        <v>214</v>
      </c>
      <c r="B11" s="20"/>
      <c r="C11" s="20"/>
      <c r="D11" s="21" t="n">
        <f aca="false">SUM(D6:D10)</f>
        <v>126</v>
      </c>
      <c r="E11" s="21" t="n">
        <f aca="false">SUM(E6:E10)</f>
        <v>10</v>
      </c>
      <c r="F11" s="22" t="n">
        <f aca="false">IF(D11=0,0,E11/D11)</f>
        <v>0.0793650793650794</v>
      </c>
      <c r="G11" s="21"/>
      <c r="H11" s="21" t="n">
        <f aca="false">SUM(H6:H10)</f>
        <v>32</v>
      </c>
    </row>
    <row r="29" customFormat="false" ht="15" hidden="false" customHeight="true" outlineLevel="0" collapsed="false">
      <c r="A29" s="23" t="s">
        <v>215</v>
      </c>
    </row>
    <row r="30" customFormat="false" ht="15" hidden="false" customHeight="true" outlineLevel="0" collapsed="false">
      <c r="A30" s="24" t="s">
        <v>216</v>
      </c>
    </row>
    <row r="31" customFormat="false" ht="15" hidden="false" customHeight="true" outlineLevel="0" collapsed="false">
      <c r="A31" s="24" t="s">
        <v>217</v>
      </c>
    </row>
    <row r="32" customFormat="false" ht="15" hidden="false" customHeight="true" outlineLevel="0" collapsed="false">
      <c r="A32" s="24" t="s">
        <v>218</v>
      </c>
    </row>
    <row r="33" customFormat="false" ht="15" hidden="false" customHeight="true" outlineLevel="0" collapsed="false">
      <c r="A33" s="24" t="s">
        <v>219</v>
      </c>
    </row>
    <row r="34" customFormat="false" ht="15" hidden="false" customHeight="true" outlineLevel="0" collapsed="false">
      <c r="A34" s="24" t="s">
        <v>220</v>
      </c>
    </row>
    <row r="35" customFormat="false" ht="15" hidden="false" customHeight="true" outlineLevel="0" collapsed="false">
      <c r="A35" s="24" t="s">
        <v>221</v>
      </c>
    </row>
    <row r="36" customFormat="false" ht="15" hidden="false" customHeight="true" outlineLevel="0" collapsed="false">
      <c r="A36" s="24" t="s">
        <v>222</v>
      </c>
    </row>
    <row r="38" customFormat="false" ht="15" hidden="false" customHeight="true" outlineLevel="0" collapsed="false">
      <c r="A38" s="23" t="s">
        <v>223</v>
      </c>
    </row>
    <row r="39" customFormat="false" ht="15" hidden="false" customHeight="true" outlineLevel="0" collapsed="false">
      <c r="A39" s="24" t="s">
        <v>224</v>
      </c>
    </row>
    <row r="40" customFormat="false" ht="15" hidden="false" customHeight="true" outlineLevel="0" collapsed="false">
      <c r="A40" s="24" t="s">
        <v>225</v>
      </c>
    </row>
    <row r="41" customFormat="false" ht="15" hidden="false" customHeight="true" outlineLevel="0" collapsed="false">
      <c r="A41" s="24" t="s">
        <v>226</v>
      </c>
    </row>
    <row r="42" customFormat="false" ht="15" hidden="false" customHeight="true" outlineLevel="0" collapsed="false">
      <c r="A42" s="24" t="s">
        <v>227</v>
      </c>
    </row>
    <row r="43" customFormat="false" ht="15" hidden="false" customHeight="true" outlineLevel="0" collapsed="false">
      <c r="A43" s="24" t="s">
        <v>228</v>
      </c>
    </row>
    <row r="44" customFormat="false" ht="15" hidden="false" customHeight="true" outlineLevel="0" collapsed="false">
      <c r="A44" s="24" t="s">
        <v>229</v>
      </c>
    </row>
    <row r="45" customFormat="false" ht="15" hidden="false" customHeight="true" outlineLevel="0" collapsed="false">
      <c r="A45" s="24" t="s">
        <v>230</v>
      </c>
    </row>
    <row r="47" customFormat="false" ht="15" hidden="false" customHeight="true" outlineLevel="0" collapsed="false">
      <c r="A47" s="23" t="s">
        <v>231</v>
      </c>
    </row>
    <row r="48" customFormat="false" ht="15" hidden="false" customHeight="true" outlineLevel="0" collapsed="false">
      <c r="A48" s="24" t="s">
        <v>232</v>
      </c>
    </row>
    <row r="49" customFormat="false" ht="15" hidden="false" customHeight="true" outlineLevel="0" collapsed="false">
      <c r="A49" s="24" t="s">
        <v>233</v>
      </c>
    </row>
    <row r="50" customFormat="false" ht="15" hidden="false" customHeight="true" outlineLevel="0" collapsed="false">
      <c r="A50" s="24" t="s">
        <v>234</v>
      </c>
    </row>
    <row r="51" customFormat="false" ht="15" hidden="false" customHeight="true" outlineLevel="0" collapsed="false">
      <c r="A51" s="24" t="s">
        <v>235</v>
      </c>
    </row>
    <row r="53" customFormat="false" ht="15" hidden="false" customHeight="true" outlineLevel="0" collapsed="false">
      <c r="A53" s="23" t="s">
        <v>236</v>
      </c>
    </row>
    <row r="54" customFormat="false" ht="15" hidden="false" customHeight="true" outlineLevel="0" collapsed="false">
      <c r="A54" s="24" t="s">
        <v>237</v>
      </c>
    </row>
    <row r="55" customFormat="false" ht="15" hidden="false" customHeight="true" outlineLevel="0" collapsed="false">
      <c r="A55" s="24" t="s">
        <v>238</v>
      </c>
    </row>
    <row r="56" customFormat="false" ht="15" hidden="false" customHeight="true" outlineLevel="0" collapsed="false">
      <c r="A56" s="24" t="s">
        <v>239</v>
      </c>
    </row>
    <row r="57" customFormat="false" ht="15" hidden="false" customHeight="true" outlineLevel="0" collapsed="false">
      <c r="A57" s="24" t="s">
        <v>240</v>
      </c>
    </row>
    <row r="58" customFormat="false" ht="15" hidden="false" customHeight="true" outlineLevel="0" collapsed="false">
      <c r="A58" s="24" t="s">
        <v>241</v>
      </c>
    </row>
    <row r="59" customFormat="false" ht="15" hidden="false" customHeight="true" outlineLevel="0" collapsed="false">
      <c r="A59" s="24" t="s">
        <v>242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243</v>
      </c>
    </row>
    <row r="4" customFormat="false" ht="14.25" hidden="false" customHeight="true" outlineLevel="0" collapsed="false">
      <c r="A4" s="4" t="s">
        <v>244</v>
      </c>
      <c r="B4" s="4" t="s">
        <v>245</v>
      </c>
      <c r="C4" s="4" t="s">
        <v>203</v>
      </c>
      <c r="D4" s="4" t="s">
        <v>246</v>
      </c>
      <c r="E4" s="4" t="s">
        <v>247</v>
      </c>
    </row>
    <row r="5" customFormat="false" ht="14.25" hidden="false" customHeight="true" outlineLevel="0" collapsed="false">
      <c r="A5" s="25" t="s">
        <v>20</v>
      </c>
      <c r="B5" s="6" t="s">
        <v>248</v>
      </c>
      <c r="C5" s="5" t="n">
        <f aca="false">COUNTIF('Product Backlog'!$H$5:$H$36,A5)</f>
        <v>9</v>
      </c>
      <c r="D5" s="5" t="n">
        <f aca="false">SUMIF('Product Backlog'!$H$5:$H$36,A5,'Product Backlog'!$G$5:$G$36)</f>
        <v>38</v>
      </c>
      <c r="E5" s="15" t="n">
        <f aca="false">IF(SUM($D$5:$D$8)=0,0,D5/SUM($D$5:$D$8))</f>
        <v>0.301587301587302</v>
      </c>
    </row>
    <row r="6" customFormat="false" ht="14.25" hidden="false" customHeight="true" outlineLevel="0" collapsed="false">
      <c r="A6" s="13" t="s">
        <v>77</v>
      </c>
      <c r="B6" s="6" t="s">
        <v>249</v>
      </c>
      <c r="C6" s="5" t="n">
        <f aca="false">COUNTIF('Product Backlog'!$H$5:$H$36,A6)</f>
        <v>16</v>
      </c>
      <c r="D6" s="5" t="n">
        <f aca="false">SUMIF('Product Backlog'!$H$5:$H$36,A6,'Product Backlog'!$G$5:$G$36)</f>
        <v>63</v>
      </c>
      <c r="E6" s="15" t="n">
        <f aca="false">IF(SUM($D$5:$D$8)=0,0,D6/SUM($D$5:$D$8))</f>
        <v>0.5</v>
      </c>
    </row>
    <row r="7" customFormat="false" ht="14.25" hidden="false" customHeight="true" outlineLevel="0" collapsed="false">
      <c r="A7" s="17" t="s">
        <v>163</v>
      </c>
      <c r="B7" s="6" t="s">
        <v>250</v>
      </c>
      <c r="C7" s="5" t="n">
        <f aca="false">COUNTIF('Product Backlog'!$H$5:$H$36,A7)</f>
        <v>5</v>
      </c>
      <c r="D7" s="5" t="n">
        <f aca="false">SUMIF('Product Backlog'!$H$5:$H$36,A7,'Product Backlog'!$G$5:$G$36)</f>
        <v>22</v>
      </c>
      <c r="E7" s="15" t="n">
        <f aca="false">IF(SUM($D$5:$D$8)=0,0,D7/SUM($D$5:$D$8))</f>
        <v>0.174603174603175</v>
      </c>
    </row>
    <row r="8" customFormat="false" ht="14.25" hidden="false" customHeight="true" outlineLevel="0" collapsed="false">
      <c r="A8" s="26" t="s">
        <v>183</v>
      </c>
      <c r="B8" s="6" t="s">
        <v>251</v>
      </c>
      <c r="C8" s="5" t="n">
        <f aca="false">COUNTIF('Product Backlog'!$H$5:$H$36,A8)</f>
        <v>1</v>
      </c>
      <c r="D8" s="5" t="n">
        <f aca="false">SUMIF('Product Backlog'!$H$5:$H$36,A8,'Product Backlog'!$G$5:$G$36)</f>
        <v>3</v>
      </c>
      <c r="E8" s="15" t="n">
        <f aca="false">IF(SUM($D$5:$D$8)=0,0,D8/SUM($D$5:$D$8))</f>
        <v>0.0238095238095238</v>
      </c>
    </row>
    <row r="9" customFormat="false" ht="14.25" hidden="false" customHeight="true" outlineLevel="0" collapsed="false">
      <c r="A9" s="9" t="s">
        <v>214</v>
      </c>
      <c r="C9" s="27" t="n">
        <f aca="false">SUM(C5:C8)</f>
        <v>31</v>
      </c>
      <c r="D9" s="27" t="n">
        <f aca="false">SUM(D5:D8)</f>
        <v>126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2026-10-20T09:21:11Z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